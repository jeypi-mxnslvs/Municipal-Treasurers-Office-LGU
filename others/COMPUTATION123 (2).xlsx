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Computer\Desktop\"/>
    </mc:Choice>
  </mc:AlternateContent>
  <xr:revisionPtr revIDLastSave="0" documentId="13_ncr:1_{C98902B2-5077-41BD-9958-1ABBAB0BFC4D}" xr6:coauthVersionLast="45" xr6:coauthVersionMax="45" xr10:uidLastSave="{00000000-0000-0000-0000-000000000000}"/>
  <bookViews>
    <workbookView xWindow="-120" yWindow="-120" windowWidth="20730" windowHeight="11160" activeTab="1" xr2:uid="{48454C4A-B375-41C9-A5B5-C9A5B1D52663}"/>
  </bookViews>
  <sheets>
    <sheet name="JULY 2026" sheetId="1" r:id="rId1"/>
    <sheet name="SEP" sheetId="2" r:id="rId2"/>
  </sheets>
  <definedNames>
    <definedName name="_xlnm.Print_Area" localSheetId="0">'JULY 2026'!$A$1:$S$48</definedName>
    <definedName name="_xlnm.Print_Area" localSheetId="1">SEP!$A$1:$S$48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4" i="2" l="1"/>
  <c r="N35" i="2"/>
  <c r="N36" i="2"/>
  <c r="N16" i="2" l="1"/>
  <c r="N17" i="2"/>
  <c r="N18" i="2"/>
  <c r="N19" i="2"/>
  <c r="N15" i="2"/>
  <c r="L37" i="2" l="1"/>
  <c r="P37" i="2" s="1"/>
  <c r="L36" i="2"/>
  <c r="L35" i="2"/>
  <c r="P35" i="2" s="1"/>
  <c r="L34" i="2"/>
  <c r="L38" i="2"/>
  <c r="N20" i="2"/>
  <c r="N21" i="2"/>
  <c r="N22" i="2"/>
  <c r="N23" i="2"/>
  <c r="N24" i="2"/>
  <c r="N25" i="2"/>
  <c r="N26" i="2"/>
  <c r="N28" i="2"/>
  <c r="N29" i="2"/>
  <c r="N30" i="2"/>
  <c r="N31" i="2"/>
  <c r="N32" i="2"/>
  <c r="N33" i="2"/>
  <c r="L33" i="2"/>
  <c r="P33" i="2" s="1"/>
  <c r="P32" i="2"/>
  <c r="L32" i="2"/>
  <c r="L31" i="2"/>
  <c r="P30" i="2"/>
  <c r="L30" i="2"/>
  <c r="L29" i="2"/>
  <c r="P29" i="2" s="1"/>
  <c r="P28" i="2"/>
  <c r="L28" i="2"/>
  <c r="L27" i="2"/>
  <c r="N27" i="2" s="1"/>
  <c r="P26" i="2"/>
  <c r="L26" i="2"/>
  <c r="L25" i="2"/>
  <c r="P25" i="2" s="1"/>
  <c r="P24" i="2"/>
  <c r="L24" i="2"/>
  <c r="D24" i="2"/>
  <c r="L23" i="2"/>
  <c r="L22" i="2"/>
  <c r="P22" i="2" s="1"/>
  <c r="L21" i="2"/>
  <c r="P21" i="2" s="1"/>
  <c r="L20" i="2"/>
  <c r="P20" i="2" s="1"/>
  <c r="L19" i="2"/>
  <c r="L18" i="2"/>
  <c r="P18" i="2" s="1"/>
  <c r="L17" i="2"/>
  <c r="P17" i="2" s="1"/>
  <c r="L16" i="2"/>
  <c r="P16" i="2" s="1"/>
  <c r="L15" i="2"/>
  <c r="P36" i="2" l="1"/>
  <c r="N38" i="2"/>
  <c r="P38" i="2" s="1"/>
  <c r="P34" i="2"/>
  <c r="P27" i="2"/>
  <c r="P23" i="2"/>
  <c r="P19" i="2"/>
  <c r="P31" i="2"/>
  <c r="P15" i="2"/>
  <c r="P40" i="2" l="1"/>
  <c r="P41" i="2" l="1"/>
  <c r="P42" i="2" s="1"/>
  <c r="D24" i="1" l="1"/>
  <c r="L37" i="1" l="1"/>
  <c r="L38" i="1"/>
  <c r="N37" i="1" l="1"/>
  <c r="L39" i="1" l="1"/>
  <c r="N39" i="1" s="1"/>
  <c r="P39" i="1" s="1"/>
  <c r="P38" i="1"/>
  <c r="L36" i="1"/>
  <c r="L35" i="1"/>
  <c r="N35" i="1" s="1"/>
  <c r="L34" i="1"/>
  <c r="P34" i="1" s="1"/>
  <c r="L33" i="1"/>
  <c r="P33" i="1" s="1"/>
  <c r="L32" i="1"/>
  <c r="P32" i="1" s="1"/>
  <c r="L31" i="1"/>
  <c r="P31" i="1" s="1"/>
  <c r="L30" i="1"/>
  <c r="P30" i="1" s="1"/>
  <c r="L29" i="1"/>
  <c r="P29" i="1" s="1"/>
  <c r="L28" i="1"/>
  <c r="P28" i="1" s="1"/>
  <c r="L27" i="1"/>
  <c r="P27" i="1" s="1"/>
  <c r="L26" i="1"/>
  <c r="P26" i="1" s="1"/>
  <c r="L25" i="1"/>
  <c r="P25" i="1" s="1"/>
  <c r="L24" i="1"/>
  <c r="P24" i="1" s="1"/>
  <c r="L23" i="1"/>
  <c r="P23" i="1" s="1"/>
  <c r="L22" i="1"/>
  <c r="P22" i="1" s="1"/>
  <c r="L21" i="1"/>
  <c r="P21" i="1" s="1"/>
  <c r="L20" i="1"/>
  <c r="P20" i="1" s="1"/>
  <c r="L19" i="1"/>
  <c r="P19" i="1" s="1"/>
  <c r="L18" i="1"/>
  <c r="P18" i="1" s="1"/>
  <c r="L17" i="1"/>
  <c r="P17" i="1" s="1"/>
  <c r="L16" i="1"/>
  <c r="P16" i="1" s="1"/>
  <c r="L15" i="1"/>
  <c r="P15" i="1" s="1"/>
  <c r="P35" i="1" l="1"/>
  <c r="N36" i="1"/>
  <c r="P36" i="1" s="1"/>
  <c r="P37" i="1"/>
  <c r="P40" i="1" l="1"/>
  <c r="P41" i="1" s="1"/>
  <c r="P42" i="1" s="1"/>
</calcChain>
</file>

<file path=xl/sharedStrings.xml><?xml version="1.0" encoding="utf-8"?>
<sst xmlns="http://schemas.openxmlformats.org/spreadsheetml/2006/main" count="75" uniqueCount="42">
  <si>
    <t>REPUBLIC OF THE PHILIPPINES</t>
  </si>
  <si>
    <t>PROVINCE OF NUEVA ECIJA</t>
  </si>
  <si>
    <t>Office of the Treasurer</t>
  </si>
  <si>
    <t>NOTICE OF DELIQUENCY IN THE PAYMENT OF REAL PROPERTY TAX IN THE</t>
  </si>
  <si>
    <r>
      <t>OR</t>
    </r>
    <r>
      <rPr>
        <b/>
        <i/>
        <sz val="11"/>
        <color theme="1"/>
        <rFont val="Calibri"/>
        <family val="2"/>
        <scheme val="minor"/>
      </rPr>
      <t>#</t>
    </r>
  </si>
  <si>
    <t>Date:</t>
  </si>
  <si>
    <t>Notice is hereby served pursuant to the provision of Section 254, Republic Act No. 7160 ( Local Government Code of 1991 ) the Real Property Tax for Calendar</t>
  </si>
  <si>
    <r>
      <t xml:space="preserve">year  </t>
    </r>
    <r>
      <rPr>
        <b/>
        <u/>
        <sz val="11"/>
        <color theme="1"/>
        <rFont val="Calibri"/>
        <family val="2"/>
        <scheme val="minor"/>
      </rPr>
      <t xml:space="preserve">2025 </t>
    </r>
    <r>
      <rPr>
        <sz val="11"/>
        <color theme="1"/>
        <rFont val="Calibri"/>
        <family val="2"/>
        <scheme val="minor"/>
      </rPr>
      <t xml:space="preserve"> and the previous years, has been delinquent with the respect to the figures.</t>
    </r>
  </si>
  <si>
    <t>Tax Declaration No.</t>
  </si>
  <si>
    <t>Area</t>
  </si>
  <si>
    <t>Assess
Value</t>
  </si>
  <si>
    <t>Location</t>
  </si>
  <si>
    <t>Kind of Property</t>
  </si>
  <si>
    <t>Year</t>
  </si>
  <si>
    <t>Unpaid Taxes</t>
  </si>
  <si>
    <r>
      <rPr>
        <b/>
        <sz val="11"/>
        <color rgb="FFFF0000"/>
        <rFont val="Calibri"/>
        <family val="2"/>
        <scheme val="minor"/>
      </rPr>
      <t>Penalties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theme="3" tint="-0.499984740745262"/>
        <rFont val="Calibri"/>
        <family val="2"/>
        <scheme val="minor"/>
      </rPr>
      <t>Discount</t>
    </r>
  </si>
  <si>
    <t>Total Tax Delinquency</t>
  </si>
  <si>
    <t>1973-79</t>
  </si>
  <si>
    <t>1980-85</t>
  </si>
  <si>
    <t>1987-1991</t>
  </si>
  <si>
    <t>1992-1993</t>
  </si>
  <si>
    <t>1994-2005</t>
  </si>
  <si>
    <t>2006-11</t>
  </si>
  <si>
    <t>2024 1-2Q</t>
  </si>
  <si>
    <t>2024 3-4Q</t>
  </si>
  <si>
    <t>BASIC</t>
  </si>
  <si>
    <t>SEF</t>
  </si>
  <si>
    <t>TOTAL</t>
  </si>
  <si>
    <t>Prepared by:</t>
  </si>
  <si>
    <t>Received by:</t>
  </si>
  <si>
    <t>Myra V. Cunanan</t>
  </si>
  <si>
    <t>Revenue Collection Clerk</t>
  </si>
  <si>
    <t>Signature over printed name &amp; Date</t>
  </si>
  <si>
    <t>Municipal Treasurer</t>
  </si>
  <si>
    <t xml:space="preserve"> </t>
  </si>
  <si>
    <t>2026 3-4Q</t>
  </si>
  <si>
    <t>2026 1-2Q</t>
  </si>
  <si>
    <r>
      <t xml:space="preserve">JULY </t>
    </r>
    <r>
      <rPr>
        <b/>
        <sz val="11"/>
        <color rgb="FFFF0000"/>
        <rFont val="Calibri"/>
        <family val="2"/>
        <scheme val="minor"/>
      </rPr>
      <t>01-05</t>
    </r>
    <r>
      <rPr>
        <b/>
        <sz val="11"/>
        <color theme="1"/>
        <rFont val="Calibri"/>
        <family val="2"/>
        <scheme val="minor"/>
      </rPr>
      <t xml:space="preserve"> 2026</t>
    </r>
  </si>
  <si>
    <t>2026 3-4 Q</t>
  </si>
  <si>
    <r>
      <rPr>
        <b/>
        <sz val="11"/>
        <color rgb="FFFF0000"/>
        <rFont val="Calibri"/>
        <family val="2"/>
        <scheme val="minor"/>
      </rPr>
      <t>Penalties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rgb="FF00B0F0"/>
        <rFont val="Calibri"/>
        <family val="2"/>
        <scheme val="minor"/>
      </rPr>
      <t>Discount</t>
    </r>
  </si>
  <si>
    <t>LAST PAYMENT:</t>
  </si>
  <si>
    <r>
      <t xml:space="preserve">SEPTEMBER </t>
    </r>
    <r>
      <rPr>
        <b/>
        <sz val="11"/>
        <color rgb="FFFF0000"/>
        <rFont val="Calibri"/>
        <family val="2"/>
        <scheme val="minor"/>
      </rPr>
      <t>01-31</t>
    </r>
    <r>
      <rPr>
        <b/>
        <sz val="11"/>
        <color theme="1"/>
        <rFont val="Calibri"/>
        <family val="2"/>
        <scheme val="minor"/>
      </rPr>
      <t xml:space="preserve">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</si>
</sst>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4">
    <xf numFmtId="0" fontId="0" fillId="0" borderId="0" xfId="0"/>
    <xf numFmtId="43" fontId="0" fillId="0" borderId="0" xfId="1" applyFont="1"/>
    <xf numFmtId="0" fontId="3" fillId="0" borderId="0" xfId="0" applyFont="1"/>
    <xf numFmtId="0" fontId="3" fillId="0" borderId="0" xfId="0" applyFont="1" applyAlignment="1">
      <alignment horizontal="right"/>
    </xf>
    <xf numFmtId="15" fontId="3" fillId="0" borderId="0" xfId="0" applyNumberFormat="1" applyFont="1" applyAlignment="1">
      <alignment horizont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2" xfId="0" applyFont="1" applyBorder="1"/>
    <xf numFmtId="164" fontId="0" fillId="0" borderId="12" xfId="0" applyNumberFormat="1" applyBorder="1"/>
    <xf numFmtId="43" fontId="0" fillId="0" borderId="12" xfId="1" applyFont="1" applyBorder="1" applyAlignment="1">
      <alignment horizontal="center"/>
    </xf>
    <xf numFmtId="0" fontId="0" fillId="0" borderId="12" xfId="0" applyBorder="1"/>
    <xf numFmtId="43" fontId="0" fillId="0" borderId="12" xfId="1" applyFont="1" applyBorder="1"/>
    <xf numFmtId="0" fontId="0" fillId="0" borderId="10" xfId="0" applyBorder="1"/>
    <xf numFmtId="0" fontId="0" fillId="0" borderId="11" xfId="0" applyBorder="1"/>
    <xf numFmtId="43" fontId="0" fillId="0" borderId="12" xfId="1" applyFont="1" applyBorder="1" applyAlignment="1"/>
    <xf numFmtId="0" fontId="0" fillId="0" borderId="1" xfId="0" applyBorder="1"/>
    <xf numFmtId="43" fontId="0" fillId="0" borderId="1" xfId="1" applyFont="1" applyBorder="1"/>
    <xf numFmtId="43" fontId="0" fillId="0" borderId="0" xfId="0" applyNumberFormat="1"/>
    <xf numFmtId="43" fontId="1" fillId="0" borderId="13" xfId="1" applyFont="1" applyBorder="1" applyAlignment="1">
      <alignment horizontal="center"/>
    </xf>
    <xf numFmtId="43" fontId="7" fillId="0" borderId="12" xfId="1" applyFont="1" applyBorder="1" applyAlignment="1">
      <alignment horizontal="center"/>
    </xf>
    <xf numFmtId="165" fontId="13" fillId="0" borderId="12" xfId="1" applyNumberFormat="1" applyFont="1" applyBorder="1"/>
    <xf numFmtId="43" fontId="14" fillId="0" borderId="12" xfId="1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43" fontId="3" fillId="0" borderId="10" xfId="1" applyFont="1" applyBorder="1" applyAlignment="1">
      <alignment horizontal="center"/>
    </xf>
    <xf numFmtId="43" fontId="3" fillId="0" borderId="11" xfId="1" applyFont="1" applyBorder="1" applyAlignment="1">
      <alignment horizontal="center"/>
    </xf>
    <xf numFmtId="43" fontId="0" fillId="0" borderId="10" xfId="1" applyFont="1" applyBorder="1" applyAlignment="1">
      <alignment horizontal="center"/>
    </xf>
    <xf numFmtId="43" fontId="0" fillId="0" borderId="11" xfId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3" fontId="3" fillId="0" borderId="5" xfId="1" applyFont="1" applyBorder="1" applyAlignment="1">
      <alignment horizontal="center" vertical="center" wrapText="1"/>
    </xf>
    <xf numFmtId="43" fontId="3" fillId="0" borderId="9" xfId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0" fillId="0" borderId="3" xfId="1" applyFont="1" applyBorder="1" applyAlignment="1">
      <alignment horizontal="center"/>
    </xf>
    <xf numFmtId="43" fontId="0" fillId="0" borderId="4" xfId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3" fontId="3" fillId="0" borderId="7" xfId="1" applyFont="1" applyFill="1" applyBorder="1" applyAlignment="1">
      <alignment horizontal="center"/>
    </xf>
    <xf numFmtId="43" fontId="3" fillId="0" borderId="8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3" fontId="2" fillId="0" borderId="10" xfId="1" applyFont="1" applyBorder="1" applyAlignment="1">
      <alignment horizontal="center"/>
    </xf>
    <xf numFmtId="43" fontId="2" fillId="0" borderId="11" xfId="1" applyFont="1" applyBorder="1" applyAlignment="1">
      <alignment horizontal="center"/>
    </xf>
    <xf numFmtId="164" fontId="11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1" fillId="0" borderId="10" xfId="0" applyFont="1" applyBorder="1" applyAlignment="1">
      <alignment horizontal="right"/>
    </xf>
    <xf numFmtId="0" fontId="11" fillId="0" borderId="11" xfId="0" applyFont="1" applyBorder="1" applyAlignment="1">
      <alignment horizontal="right"/>
    </xf>
    <xf numFmtId="43" fontId="10" fillId="0" borderId="10" xfId="1" applyFont="1" applyBorder="1" applyAlignment="1">
      <alignment horizontal="center"/>
    </xf>
    <xf numFmtId="43" fontId="10" fillId="0" borderId="11" xfId="1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164" fontId="12" fillId="0" borderId="14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43" fontId="15" fillId="0" borderId="10" xfId="1" applyFont="1" applyBorder="1" applyAlignment="1">
      <alignment horizontal="center"/>
    </xf>
    <xf numFmtId="43" fontId="15" fillId="0" borderId="11" xfId="1" applyFont="1" applyBorder="1" applyAlignment="1">
      <alignment horizontal="center"/>
    </xf>
    <xf numFmtId="164" fontId="17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164" fontId="18" fillId="0" borderId="14" xfId="0" applyNumberFormat="1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ill>
        <patternFill>
          <fgColor theme="5" tint="0.59996337778862885"/>
          <bgColor theme="5" tint="0.59996337778862885"/>
        </patternFill>
      </fill>
    </dxf>
    <dxf>
      <fill>
        <patternFill>
          <fgColor theme="5" tint="0.59996337778862885"/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3A8D-7ADB-4451-8F51-CE03893D75D9}">
  <sheetPr>
    <pageSetUpPr fitToPage="1"/>
  </sheetPr>
  <dimension ref="A1:R48"/>
  <sheetViews>
    <sheetView view="pageBreakPreview" topLeftCell="A24" zoomScale="70" zoomScaleNormal="70" zoomScaleSheetLayoutView="70" zoomScalePageLayoutView="85" workbookViewId="0">
      <selection activeCell="N38" sqref="N38:O38"/>
    </sheetView>
  </sheetViews>
  <sheetFormatPr defaultRowHeight="15" x14ac:dyDescent="0.25"/>
  <cols>
    <col min="3" max="3" width="19.85546875" customWidth="1"/>
    <col min="4" max="4" width="15.140625" customWidth="1"/>
    <col min="19" max="19" width="1.85546875" customWidth="1"/>
  </cols>
  <sheetData>
    <row r="1" spans="1:18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x14ac:dyDescent="0.2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x14ac:dyDescent="0.25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x14ac:dyDescent="0.25">
      <c r="D4" s="1"/>
    </row>
    <row r="5" spans="1:18" x14ac:dyDescent="0.25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8" x14ac:dyDescent="0.25">
      <c r="A7" s="32"/>
      <c r="B7" s="32"/>
      <c r="C7" s="32"/>
      <c r="D7" s="32"/>
      <c r="E7" s="2"/>
      <c r="F7" s="2"/>
      <c r="H7" s="3" t="s">
        <v>4</v>
      </c>
      <c r="I7" s="34"/>
      <c r="J7" s="34"/>
      <c r="K7" s="34"/>
      <c r="N7" s="4" t="s">
        <v>5</v>
      </c>
      <c r="O7" s="35" t="s">
        <v>37</v>
      </c>
      <c r="P7" s="35"/>
      <c r="Q7" s="35"/>
    </row>
    <row r="8" spans="1:18" x14ac:dyDescent="0.25">
      <c r="A8" s="32"/>
      <c r="B8" s="32"/>
      <c r="C8" s="32"/>
      <c r="D8" s="32"/>
      <c r="I8" s="36"/>
      <c r="J8" s="31"/>
      <c r="K8" s="31"/>
      <c r="O8" s="37"/>
      <c r="P8" s="37"/>
      <c r="Q8" s="37"/>
    </row>
    <row r="9" spans="1:18" x14ac:dyDescent="0.25">
      <c r="A9" s="33"/>
      <c r="B9" s="33"/>
      <c r="C9" s="33"/>
      <c r="D9" s="33"/>
      <c r="I9" s="30"/>
      <c r="J9" s="30"/>
      <c r="K9" s="30"/>
      <c r="O9" s="38"/>
      <c r="P9" s="38"/>
      <c r="Q9" s="38"/>
    </row>
    <row r="10" spans="1:18" x14ac:dyDescent="0.25">
      <c r="B10" t="s">
        <v>6</v>
      </c>
      <c r="D10" s="1"/>
    </row>
    <row r="11" spans="1:18" x14ac:dyDescent="0.25">
      <c r="A11" t="s">
        <v>7</v>
      </c>
      <c r="D11" s="1"/>
    </row>
    <row r="12" spans="1:18" ht="15.75" thickBot="1" x14ac:dyDescent="0.3">
      <c r="D12" s="1"/>
      <c r="J12" s="5"/>
      <c r="K12" s="5"/>
    </row>
    <row r="13" spans="1:18" x14ac:dyDescent="0.25">
      <c r="A13" s="58" t="s">
        <v>8</v>
      </c>
      <c r="B13" s="41"/>
      <c r="C13" s="59" t="s">
        <v>9</v>
      </c>
      <c r="D13" s="61" t="s">
        <v>10</v>
      </c>
      <c r="E13" s="58" t="s">
        <v>11</v>
      </c>
      <c r="F13" s="41"/>
      <c r="G13" s="58" t="s">
        <v>12</v>
      </c>
      <c r="H13" s="41"/>
      <c r="I13" s="58"/>
      <c r="J13" s="41"/>
      <c r="K13" s="59" t="s">
        <v>13</v>
      </c>
      <c r="L13" s="58" t="s">
        <v>14</v>
      </c>
      <c r="M13" s="41"/>
      <c r="N13" s="58" t="s">
        <v>15</v>
      </c>
      <c r="O13" s="41"/>
      <c r="P13" s="39" t="s">
        <v>16</v>
      </c>
      <c r="Q13" s="40"/>
      <c r="R13" s="41"/>
    </row>
    <row r="14" spans="1:18" ht="15.75" thickBot="1" x14ac:dyDescent="0.3">
      <c r="A14" s="42"/>
      <c r="B14" s="44"/>
      <c r="C14" s="60"/>
      <c r="D14" s="62"/>
      <c r="E14" s="42"/>
      <c r="F14" s="44"/>
      <c r="G14" s="42"/>
      <c r="H14" s="44"/>
      <c r="I14" s="42"/>
      <c r="J14" s="44"/>
      <c r="K14" s="60"/>
      <c r="L14" s="42"/>
      <c r="M14" s="44"/>
      <c r="N14" s="42"/>
      <c r="O14" s="44"/>
      <c r="P14" s="42"/>
      <c r="Q14" s="43"/>
      <c r="R14" s="44"/>
    </row>
    <row r="15" spans="1:18" ht="15.75" thickBot="1" x14ac:dyDescent="0.3">
      <c r="A15" s="45"/>
      <c r="B15" s="46"/>
      <c r="C15" s="22"/>
      <c r="D15" s="20"/>
      <c r="E15" s="47"/>
      <c r="F15" s="48"/>
      <c r="G15" s="49"/>
      <c r="H15" s="50"/>
      <c r="I15" s="51"/>
      <c r="J15" s="52"/>
      <c r="K15" s="6" t="s">
        <v>17</v>
      </c>
      <c r="L15" s="53">
        <f>(I15*0.01)*7</f>
        <v>0</v>
      </c>
      <c r="M15" s="54"/>
      <c r="N15" s="55"/>
      <c r="O15" s="56"/>
      <c r="P15" s="53">
        <f t="shared" ref="P15:P34" si="0">L15+N15</f>
        <v>0</v>
      </c>
      <c r="Q15" s="57"/>
      <c r="R15" s="54"/>
    </row>
    <row r="16" spans="1:18" ht="15.75" thickBot="1" x14ac:dyDescent="0.3">
      <c r="A16" s="45"/>
      <c r="B16" s="46"/>
      <c r="C16" s="23"/>
      <c r="D16" s="20"/>
      <c r="E16" s="47"/>
      <c r="F16" s="48"/>
      <c r="G16" s="49"/>
      <c r="H16" s="50"/>
      <c r="I16" s="51"/>
      <c r="J16" s="52"/>
      <c r="K16" s="6" t="s">
        <v>18</v>
      </c>
      <c r="L16" s="53">
        <f>(I16*0.01)*6</f>
        <v>0</v>
      </c>
      <c r="M16" s="54"/>
      <c r="N16" s="55"/>
      <c r="O16" s="56"/>
      <c r="P16" s="53">
        <f t="shared" si="0"/>
        <v>0</v>
      </c>
      <c r="Q16" s="57"/>
      <c r="R16" s="54"/>
    </row>
    <row r="17" spans="1:18" ht="15.75" thickBot="1" x14ac:dyDescent="0.3">
      <c r="A17" s="45"/>
      <c r="B17" s="46"/>
      <c r="C17" s="23"/>
      <c r="D17" s="20"/>
      <c r="E17" s="47"/>
      <c r="F17" s="48"/>
      <c r="G17" s="49"/>
      <c r="H17" s="50"/>
      <c r="I17" s="51"/>
      <c r="J17" s="52"/>
      <c r="K17" s="6">
        <v>1986</v>
      </c>
      <c r="L17" s="53">
        <f>I17*0.01</f>
        <v>0</v>
      </c>
      <c r="M17" s="54"/>
      <c r="N17" s="55"/>
      <c r="O17" s="56"/>
      <c r="P17" s="53">
        <f t="shared" si="0"/>
        <v>0</v>
      </c>
      <c r="Q17" s="57"/>
      <c r="R17" s="54"/>
    </row>
    <row r="18" spans="1:18" ht="15.75" thickBot="1" x14ac:dyDescent="0.3">
      <c r="A18" s="45"/>
      <c r="B18" s="46"/>
      <c r="C18" s="23"/>
      <c r="D18" s="20"/>
      <c r="E18" s="47"/>
      <c r="F18" s="48"/>
      <c r="G18" s="49"/>
      <c r="H18" s="50"/>
      <c r="I18" s="51"/>
      <c r="J18" s="52"/>
      <c r="K18" s="6" t="s">
        <v>19</v>
      </c>
      <c r="L18" s="53">
        <f>(I18*0.01)*5</f>
        <v>0</v>
      </c>
      <c r="M18" s="54"/>
      <c r="N18" s="55"/>
      <c r="O18" s="56"/>
      <c r="P18" s="53">
        <f t="shared" si="0"/>
        <v>0</v>
      </c>
      <c r="Q18" s="57"/>
      <c r="R18" s="54"/>
    </row>
    <row r="19" spans="1:18" ht="15.75" thickBot="1" x14ac:dyDescent="0.3">
      <c r="A19" s="45"/>
      <c r="B19" s="46"/>
      <c r="C19" s="23"/>
      <c r="D19" s="20"/>
      <c r="E19" s="47"/>
      <c r="F19" s="48"/>
      <c r="G19" s="49"/>
      <c r="H19" s="50"/>
      <c r="I19" s="51"/>
      <c r="J19" s="52"/>
      <c r="K19" s="6" t="s">
        <v>20</v>
      </c>
      <c r="L19" s="53">
        <f>(I19*0.01)*2</f>
        <v>0</v>
      </c>
      <c r="M19" s="54"/>
      <c r="N19" s="55"/>
      <c r="O19" s="56"/>
      <c r="P19" s="53">
        <f t="shared" si="0"/>
        <v>0</v>
      </c>
      <c r="Q19" s="57"/>
      <c r="R19" s="54"/>
    </row>
    <row r="20" spans="1:18" ht="15.75" thickBot="1" x14ac:dyDescent="0.3">
      <c r="A20" s="45"/>
      <c r="B20" s="46"/>
      <c r="C20" s="23"/>
      <c r="D20" s="20"/>
      <c r="E20" s="47"/>
      <c r="F20" s="48"/>
      <c r="G20" s="49"/>
      <c r="H20" s="50"/>
      <c r="I20" s="51"/>
      <c r="J20" s="52"/>
      <c r="K20" s="6" t="s">
        <v>21</v>
      </c>
      <c r="L20" s="69">
        <f>(I20*0.01)*12</f>
        <v>0</v>
      </c>
      <c r="M20" s="70"/>
      <c r="N20" s="71"/>
      <c r="O20" s="72"/>
      <c r="P20" s="53">
        <f t="shared" si="0"/>
        <v>0</v>
      </c>
      <c r="Q20" s="57"/>
      <c r="R20" s="54"/>
    </row>
    <row r="21" spans="1:18" ht="15.75" thickBot="1" x14ac:dyDescent="0.3">
      <c r="A21" s="45"/>
      <c r="B21" s="46"/>
      <c r="C21" s="23"/>
      <c r="D21" s="20"/>
      <c r="E21" s="63"/>
      <c r="F21" s="64"/>
      <c r="G21" s="65"/>
      <c r="H21" s="66"/>
      <c r="I21" s="67"/>
      <c r="J21" s="68"/>
      <c r="K21" s="6" t="s">
        <v>22</v>
      </c>
      <c r="L21" s="69">
        <f>(I21*0.01)*6</f>
        <v>0</v>
      </c>
      <c r="M21" s="70"/>
      <c r="N21" s="71"/>
      <c r="O21" s="72"/>
      <c r="P21" s="53">
        <f t="shared" si="0"/>
        <v>0</v>
      </c>
      <c r="Q21" s="57"/>
      <c r="R21" s="54"/>
    </row>
    <row r="22" spans="1:18" ht="15.75" thickBot="1" x14ac:dyDescent="0.3">
      <c r="A22" s="45"/>
      <c r="B22" s="46"/>
      <c r="C22" s="23"/>
      <c r="D22" s="20"/>
      <c r="E22" s="63"/>
      <c r="F22" s="64"/>
      <c r="G22" s="65"/>
      <c r="H22" s="66"/>
      <c r="I22" s="67"/>
      <c r="J22" s="68"/>
      <c r="K22" s="6">
        <v>2012</v>
      </c>
      <c r="L22" s="69">
        <f t="shared" ref="L22:L33" si="1">I22*0.01</f>
        <v>0</v>
      </c>
      <c r="M22" s="70"/>
      <c r="N22" s="71"/>
      <c r="O22" s="72"/>
      <c r="P22" s="53">
        <f t="shared" si="0"/>
        <v>0</v>
      </c>
      <c r="Q22" s="57"/>
      <c r="R22" s="54"/>
    </row>
    <row r="23" spans="1:18" ht="15.75" thickBot="1" x14ac:dyDescent="0.3">
      <c r="A23" s="45"/>
      <c r="B23" s="46"/>
      <c r="C23" s="23"/>
      <c r="D23" s="20"/>
      <c r="E23" s="63"/>
      <c r="F23" s="64"/>
      <c r="G23" s="49"/>
      <c r="H23" s="50"/>
      <c r="I23" s="67"/>
      <c r="J23" s="68"/>
      <c r="K23" s="6">
        <v>2013</v>
      </c>
      <c r="L23" s="69">
        <f t="shared" si="1"/>
        <v>0</v>
      </c>
      <c r="M23" s="70"/>
      <c r="N23" s="71"/>
      <c r="O23" s="72"/>
      <c r="P23" s="53">
        <f t="shared" si="0"/>
        <v>0</v>
      </c>
      <c r="Q23" s="57"/>
      <c r="R23" s="54"/>
    </row>
    <row r="24" spans="1:18" ht="15.75" thickBot="1" x14ac:dyDescent="0.3">
      <c r="A24" s="7"/>
      <c r="B24" s="8"/>
      <c r="C24" s="9"/>
      <c r="D24" s="21">
        <f>SUM(D15:D23)</f>
        <v>0</v>
      </c>
      <c r="E24" s="24"/>
      <c r="F24" s="25"/>
      <c r="G24" s="73"/>
      <c r="H24" s="74"/>
      <c r="I24" s="67"/>
      <c r="J24" s="68"/>
      <c r="K24" s="6">
        <v>2014</v>
      </c>
      <c r="L24" s="69">
        <f t="shared" si="1"/>
        <v>0</v>
      </c>
      <c r="M24" s="70"/>
      <c r="N24" s="71"/>
      <c r="O24" s="72"/>
      <c r="P24" s="53">
        <f t="shared" si="0"/>
        <v>0</v>
      </c>
      <c r="Q24" s="57"/>
      <c r="R24" s="54"/>
    </row>
    <row r="25" spans="1:18" ht="15.75" thickBot="1" x14ac:dyDescent="0.3">
      <c r="A25" s="7"/>
      <c r="B25" s="8"/>
      <c r="C25" s="10"/>
      <c r="D25" s="11"/>
      <c r="E25" s="7"/>
      <c r="F25" s="8"/>
      <c r="G25" s="51"/>
      <c r="H25" s="52"/>
      <c r="I25" s="67"/>
      <c r="J25" s="68"/>
      <c r="K25" s="6">
        <v>2015</v>
      </c>
      <c r="L25" s="69">
        <f>I25*0.01</f>
        <v>0</v>
      </c>
      <c r="M25" s="70"/>
      <c r="N25" s="71"/>
      <c r="O25" s="72"/>
      <c r="P25" s="53">
        <f t="shared" si="0"/>
        <v>0</v>
      </c>
      <c r="Q25" s="57"/>
      <c r="R25" s="54"/>
    </row>
    <row r="26" spans="1:18" ht="15.75" thickBot="1" x14ac:dyDescent="0.3">
      <c r="A26" s="75"/>
      <c r="B26" s="76"/>
      <c r="C26" s="12"/>
      <c r="D26" s="11"/>
      <c r="E26" s="75"/>
      <c r="F26" s="76"/>
      <c r="G26" s="67"/>
      <c r="H26" s="68"/>
      <c r="I26" s="67"/>
      <c r="J26" s="68"/>
      <c r="K26" s="6">
        <v>2016</v>
      </c>
      <c r="L26" s="69">
        <f t="shared" si="1"/>
        <v>0</v>
      </c>
      <c r="M26" s="70"/>
      <c r="N26" s="71"/>
      <c r="O26" s="72"/>
      <c r="P26" s="53">
        <f t="shared" si="0"/>
        <v>0</v>
      </c>
      <c r="Q26" s="57"/>
      <c r="R26" s="54"/>
    </row>
    <row r="27" spans="1:18" ht="15.75" thickBot="1" x14ac:dyDescent="0.3">
      <c r="A27" s="75"/>
      <c r="B27" s="76"/>
      <c r="C27" s="10"/>
      <c r="D27" s="13"/>
      <c r="E27" s="75"/>
      <c r="F27" s="76"/>
      <c r="G27" s="75"/>
      <c r="H27" s="76"/>
      <c r="I27" s="67"/>
      <c r="J27" s="68"/>
      <c r="K27" s="6">
        <v>2017</v>
      </c>
      <c r="L27" s="69">
        <f t="shared" si="1"/>
        <v>0</v>
      </c>
      <c r="M27" s="70"/>
      <c r="N27" s="71"/>
      <c r="O27" s="72"/>
      <c r="P27" s="53">
        <f t="shared" si="0"/>
        <v>0</v>
      </c>
      <c r="Q27" s="57"/>
      <c r="R27" s="54"/>
    </row>
    <row r="28" spans="1:18" ht="15.75" thickBot="1" x14ac:dyDescent="0.3">
      <c r="A28" s="75"/>
      <c r="B28" s="76"/>
      <c r="C28" s="12"/>
      <c r="D28" s="13"/>
      <c r="E28" s="75"/>
      <c r="F28" s="76"/>
      <c r="G28" s="75"/>
      <c r="H28" s="76"/>
      <c r="I28" s="67"/>
      <c r="J28" s="68"/>
      <c r="K28" s="6">
        <v>2018</v>
      </c>
      <c r="L28" s="69">
        <f>I28*0.01</f>
        <v>0</v>
      </c>
      <c r="M28" s="70"/>
      <c r="N28" s="71"/>
      <c r="O28" s="72"/>
      <c r="P28" s="53">
        <f t="shared" si="0"/>
        <v>0</v>
      </c>
      <c r="Q28" s="57"/>
      <c r="R28" s="54"/>
    </row>
    <row r="29" spans="1:18" ht="15.75" thickBot="1" x14ac:dyDescent="0.3">
      <c r="A29" s="7"/>
      <c r="B29" s="8"/>
      <c r="C29" s="12"/>
      <c r="D29" s="13"/>
      <c r="E29" s="7"/>
      <c r="F29" s="8"/>
      <c r="G29" s="7"/>
      <c r="H29" s="8"/>
      <c r="I29" s="67"/>
      <c r="J29" s="68"/>
      <c r="K29" s="6">
        <v>2019</v>
      </c>
      <c r="L29" s="53">
        <f t="shared" si="1"/>
        <v>0</v>
      </c>
      <c r="M29" s="54"/>
      <c r="N29" s="77"/>
      <c r="O29" s="78"/>
      <c r="P29" s="53">
        <f t="shared" si="0"/>
        <v>0</v>
      </c>
      <c r="Q29" s="57"/>
      <c r="R29" s="54"/>
    </row>
    <row r="30" spans="1:18" ht="15.75" thickBot="1" x14ac:dyDescent="0.3">
      <c r="A30" s="7"/>
      <c r="B30" s="8"/>
      <c r="C30" s="12"/>
      <c r="D30" s="13"/>
      <c r="E30" s="7"/>
      <c r="F30" s="8"/>
      <c r="G30" s="7"/>
      <c r="H30" s="8"/>
      <c r="I30" s="67"/>
      <c r="J30" s="68"/>
      <c r="K30" s="6">
        <v>2020</v>
      </c>
      <c r="L30" s="53">
        <f>I30*0.01</f>
        <v>0</v>
      </c>
      <c r="M30" s="54"/>
      <c r="N30" s="77"/>
      <c r="O30" s="78"/>
      <c r="P30" s="53">
        <f t="shared" si="0"/>
        <v>0</v>
      </c>
      <c r="Q30" s="57"/>
      <c r="R30" s="54"/>
    </row>
    <row r="31" spans="1:18" ht="15.75" thickBot="1" x14ac:dyDescent="0.3">
      <c r="A31" s="7"/>
      <c r="B31" s="8"/>
      <c r="C31" s="12"/>
      <c r="D31" s="13"/>
      <c r="E31" s="7"/>
      <c r="F31" s="8"/>
      <c r="G31" s="7"/>
      <c r="H31" s="8"/>
      <c r="I31" s="67"/>
      <c r="J31" s="68"/>
      <c r="K31" s="6">
        <v>2021</v>
      </c>
      <c r="L31" s="53">
        <f t="shared" si="1"/>
        <v>0</v>
      </c>
      <c r="M31" s="54"/>
      <c r="N31" s="77"/>
      <c r="O31" s="78"/>
      <c r="P31" s="53">
        <f t="shared" si="0"/>
        <v>0</v>
      </c>
      <c r="Q31" s="57"/>
      <c r="R31" s="54"/>
    </row>
    <row r="32" spans="1:18" ht="15.75" thickBot="1" x14ac:dyDescent="0.3">
      <c r="A32" s="7"/>
      <c r="B32" s="8"/>
      <c r="C32" s="12"/>
      <c r="D32" s="13"/>
      <c r="E32" s="7"/>
      <c r="F32" s="8"/>
      <c r="G32" s="7"/>
      <c r="H32" s="8"/>
      <c r="I32" s="67"/>
      <c r="J32" s="68"/>
      <c r="K32" s="6">
        <v>2022</v>
      </c>
      <c r="L32" s="53">
        <f>I32*0.01</f>
        <v>0</v>
      </c>
      <c r="M32" s="54"/>
      <c r="N32" s="77"/>
      <c r="O32" s="78"/>
      <c r="P32" s="53">
        <f t="shared" si="0"/>
        <v>0</v>
      </c>
      <c r="Q32" s="57"/>
      <c r="R32" s="54"/>
    </row>
    <row r="33" spans="1:18" ht="15.75" thickBot="1" x14ac:dyDescent="0.3">
      <c r="A33" s="7"/>
      <c r="B33" s="8"/>
      <c r="C33" s="12"/>
      <c r="D33" s="13"/>
      <c r="E33" s="7"/>
      <c r="F33" s="8"/>
      <c r="G33" s="7"/>
      <c r="H33" s="8"/>
      <c r="I33" s="67"/>
      <c r="J33" s="68"/>
      <c r="K33" s="6">
        <v>2023</v>
      </c>
      <c r="L33" s="53">
        <f t="shared" si="1"/>
        <v>0</v>
      </c>
      <c r="M33" s="54"/>
      <c r="N33" s="77"/>
      <c r="O33" s="78"/>
      <c r="P33" s="53">
        <f t="shared" si="0"/>
        <v>0</v>
      </c>
      <c r="Q33" s="57"/>
      <c r="R33" s="54"/>
    </row>
    <row r="34" spans="1:18" ht="15.75" thickBot="1" x14ac:dyDescent="0.3">
      <c r="A34" s="7"/>
      <c r="B34" s="8"/>
      <c r="C34" s="12"/>
      <c r="D34" s="13"/>
      <c r="E34" s="7"/>
      <c r="F34" s="8"/>
      <c r="G34" s="7"/>
      <c r="H34" s="8"/>
      <c r="I34" s="67"/>
      <c r="J34" s="68"/>
      <c r="K34" s="6" t="s">
        <v>23</v>
      </c>
      <c r="L34" s="53">
        <f>(I34*0.01)*0.5</f>
        <v>0</v>
      </c>
      <c r="M34" s="54"/>
      <c r="N34" s="77"/>
      <c r="O34" s="78"/>
      <c r="P34" s="53">
        <f t="shared" si="0"/>
        <v>0</v>
      </c>
      <c r="Q34" s="57"/>
      <c r="R34" s="54"/>
    </row>
    <row r="35" spans="1:18" ht="15.75" thickBot="1" x14ac:dyDescent="0.3">
      <c r="A35" s="7"/>
      <c r="B35" s="8"/>
      <c r="C35" s="12"/>
      <c r="D35" s="13"/>
      <c r="E35" s="7"/>
      <c r="F35" s="8"/>
      <c r="G35" s="7"/>
      <c r="H35" s="8"/>
      <c r="I35" s="67"/>
      <c r="J35" s="68"/>
      <c r="K35" s="6" t="s">
        <v>24</v>
      </c>
      <c r="L35" s="53">
        <f>(I35*0.01)*0.5</f>
        <v>0</v>
      </c>
      <c r="M35" s="54"/>
      <c r="N35" s="77">
        <f>L35*0.62</f>
        <v>0</v>
      </c>
      <c r="O35" s="78"/>
      <c r="P35" s="53">
        <f>L35+N35</f>
        <v>0</v>
      </c>
      <c r="Q35" s="57"/>
      <c r="R35" s="54"/>
    </row>
    <row r="36" spans="1:18" ht="15.75" thickBot="1" x14ac:dyDescent="0.3">
      <c r="A36" s="7"/>
      <c r="B36" s="8"/>
      <c r="C36" s="12"/>
      <c r="D36" s="13"/>
      <c r="E36" s="7"/>
      <c r="F36" s="8"/>
      <c r="G36" s="7"/>
      <c r="H36" s="8"/>
      <c r="I36" s="67"/>
      <c r="J36" s="68"/>
      <c r="K36" s="6">
        <v>2025</v>
      </c>
      <c r="L36" s="53">
        <f>(I36*0.01)</f>
        <v>0</v>
      </c>
      <c r="M36" s="54"/>
      <c r="N36" s="77">
        <f>L36*0.38</f>
        <v>0</v>
      </c>
      <c r="O36" s="78"/>
      <c r="P36" s="53">
        <f>L36+N36</f>
        <v>0</v>
      </c>
      <c r="Q36" s="57"/>
      <c r="R36" s="54"/>
    </row>
    <row r="37" spans="1:18" ht="15.75" thickBot="1" x14ac:dyDescent="0.3">
      <c r="A37" s="7"/>
      <c r="B37" s="8"/>
      <c r="C37" s="12"/>
      <c r="D37" s="13"/>
      <c r="E37" s="7"/>
      <c r="F37" s="8"/>
      <c r="G37" s="7"/>
      <c r="H37" s="8"/>
      <c r="I37" s="67"/>
      <c r="J37" s="68"/>
      <c r="K37" s="6" t="s">
        <v>36</v>
      </c>
      <c r="L37" s="53">
        <f>(I37*0.01)*0.5</f>
        <v>0</v>
      </c>
      <c r="M37" s="54"/>
      <c r="N37" s="77">
        <f>L37*0.14</f>
        <v>0</v>
      </c>
      <c r="O37" s="78"/>
      <c r="P37" s="53">
        <f>L37+N37</f>
        <v>0</v>
      </c>
      <c r="Q37" s="57"/>
      <c r="R37" s="54"/>
    </row>
    <row r="38" spans="1:18" ht="15.75" thickBot="1" x14ac:dyDescent="0.3">
      <c r="A38" s="7"/>
      <c r="B38" s="8"/>
      <c r="C38" s="12"/>
      <c r="D38" s="13"/>
      <c r="E38" s="7"/>
      <c r="F38" s="8"/>
      <c r="G38" s="7"/>
      <c r="H38" s="8"/>
      <c r="I38" s="67"/>
      <c r="J38" s="68"/>
      <c r="K38" s="6" t="s">
        <v>35</v>
      </c>
      <c r="L38" s="53">
        <f>(I38*0.01)*0.5</f>
        <v>0</v>
      </c>
      <c r="M38" s="54"/>
      <c r="N38" s="77"/>
      <c r="O38" s="78"/>
      <c r="P38" s="53">
        <f>L38-N38</f>
        <v>0</v>
      </c>
      <c r="Q38" s="57"/>
      <c r="R38" s="54"/>
    </row>
    <row r="39" spans="1:18" ht="15.75" thickBot="1" x14ac:dyDescent="0.3">
      <c r="A39" s="7"/>
      <c r="B39" s="8"/>
      <c r="C39" s="12"/>
      <c r="D39" s="13"/>
      <c r="E39" s="7"/>
      <c r="F39" s="8"/>
      <c r="G39" s="7"/>
      <c r="H39" s="8"/>
      <c r="I39" s="51"/>
      <c r="J39" s="52"/>
      <c r="K39" s="6">
        <v>2027</v>
      </c>
      <c r="L39" s="53">
        <f>(I39*0.01)</f>
        <v>0</v>
      </c>
      <c r="M39" s="54"/>
      <c r="N39" s="86">
        <f>L39*0.2</f>
        <v>0</v>
      </c>
      <c r="O39" s="87"/>
      <c r="P39" s="53">
        <f>L39-N39</f>
        <v>0</v>
      </c>
      <c r="Q39" s="57"/>
      <c r="R39" s="54"/>
    </row>
    <row r="40" spans="1:18" ht="18" thickBot="1" x14ac:dyDescent="0.35">
      <c r="A40" s="75"/>
      <c r="B40" s="76"/>
      <c r="C40" s="12"/>
      <c r="D40" s="13"/>
      <c r="E40" s="75"/>
      <c r="F40" s="76"/>
      <c r="G40" s="75"/>
      <c r="H40" s="76"/>
      <c r="I40" s="51"/>
      <c r="J40" s="52"/>
      <c r="K40" s="12"/>
      <c r="L40" s="69"/>
      <c r="M40" s="76"/>
      <c r="N40" s="88" t="s">
        <v>25</v>
      </c>
      <c r="O40" s="89"/>
      <c r="P40" s="79">
        <f>SUM(P15:R39)</f>
        <v>0</v>
      </c>
      <c r="Q40" s="80"/>
      <c r="R40" s="81"/>
    </row>
    <row r="41" spans="1:18" ht="18" thickBot="1" x14ac:dyDescent="0.35">
      <c r="A41" s="75"/>
      <c r="B41" s="76"/>
      <c r="C41" s="12"/>
      <c r="D41" s="13"/>
      <c r="E41" s="75"/>
      <c r="F41" s="76"/>
      <c r="G41" s="75"/>
      <c r="H41" s="76"/>
      <c r="I41" s="82"/>
      <c r="J41" s="83"/>
      <c r="K41" s="12"/>
      <c r="L41" s="75"/>
      <c r="M41" s="76"/>
      <c r="N41" s="84" t="s">
        <v>26</v>
      </c>
      <c r="O41" s="85"/>
      <c r="P41" s="79">
        <f>P40</f>
        <v>0</v>
      </c>
      <c r="Q41" s="80"/>
      <c r="R41" s="81"/>
    </row>
    <row r="42" spans="1:18" ht="18" thickBot="1" x14ac:dyDescent="0.35">
      <c r="A42" s="14"/>
      <c r="B42" s="15"/>
      <c r="C42" s="12"/>
      <c r="D42" s="13"/>
      <c r="E42" s="14"/>
      <c r="F42" s="15"/>
      <c r="G42" s="14"/>
      <c r="H42" s="15"/>
      <c r="I42" s="91"/>
      <c r="J42" s="92"/>
      <c r="K42" s="16"/>
      <c r="L42" s="14"/>
      <c r="M42" s="15"/>
      <c r="N42" s="84" t="s">
        <v>27</v>
      </c>
      <c r="O42" s="85"/>
      <c r="P42" s="93">
        <f>P40+P41</f>
        <v>0</v>
      </c>
      <c r="Q42" s="94"/>
      <c r="R42" s="95"/>
    </row>
    <row r="43" spans="1:18" x14ac:dyDescent="0.25">
      <c r="A43" t="s">
        <v>28</v>
      </c>
      <c r="D43" s="1"/>
      <c r="H43" t="s">
        <v>29</v>
      </c>
    </row>
    <row r="44" spans="1:18" x14ac:dyDescent="0.25">
      <c r="A44" s="17"/>
      <c r="B44" s="17"/>
      <c r="C44" s="17"/>
      <c r="D44" s="18"/>
      <c r="H44" s="17"/>
      <c r="I44" s="17"/>
      <c r="J44" s="17"/>
      <c r="K44" s="17"/>
      <c r="N44" s="30" t="s">
        <v>30</v>
      </c>
      <c r="O44" s="30"/>
      <c r="P44" s="30"/>
      <c r="Q44" s="19"/>
    </row>
    <row r="45" spans="1:18" x14ac:dyDescent="0.25">
      <c r="A45" s="90" t="s">
        <v>31</v>
      </c>
      <c r="B45" s="90"/>
      <c r="C45" s="90"/>
      <c r="D45" s="90"/>
      <c r="H45" s="90" t="s">
        <v>32</v>
      </c>
      <c r="I45" s="90"/>
      <c r="J45" s="90"/>
      <c r="K45" s="90"/>
      <c r="N45" s="31" t="s">
        <v>33</v>
      </c>
      <c r="O45" s="31"/>
      <c r="P45" s="31"/>
      <c r="R45" t="s">
        <v>34</v>
      </c>
    </row>
    <row r="46" spans="1:18" x14ac:dyDescent="0.25">
      <c r="D46" s="1"/>
    </row>
    <row r="47" spans="1:18" x14ac:dyDescent="0.25">
      <c r="D47" s="1"/>
    </row>
    <row r="48" spans="1:18" ht="6" customHeight="1" x14ac:dyDescent="0.25">
      <c r="A48" s="90"/>
      <c r="B48" s="90"/>
      <c r="C48" s="90"/>
      <c r="D48" s="90"/>
      <c r="H48" s="90"/>
      <c r="I48" s="90"/>
      <c r="J48" s="90"/>
      <c r="K48" s="90"/>
      <c r="N48" s="31"/>
      <c r="O48" s="31"/>
      <c r="P48" s="31"/>
    </row>
  </sheetData>
  <mergeCells count="184">
    <mergeCell ref="A48:D48"/>
    <mergeCell ref="H48:K48"/>
    <mergeCell ref="N48:P48"/>
    <mergeCell ref="I42:J42"/>
    <mergeCell ref="N42:O42"/>
    <mergeCell ref="P42:R42"/>
    <mergeCell ref="N44:P44"/>
    <mergeCell ref="A45:D45"/>
    <mergeCell ref="H45:K45"/>
    <mergeCell ref="N45:P45"/>
    <mergeCell ref="P40:R40"/>
    <mergeCell ref="A41:B41"/>
    <mergeCell ref="E41:F41"/>
    <mergeCell ref="G41:H41"/>
    <mergeCell ref="I41:J41"/>
    <mergeCell ref="L41:M41"/>
    <mergeCell ref="N41:O41"/>
    <mergeCell ref="P41:R41"/>
    <mergeCell ref="I39:J39"/>
    <mergeCell ref="L39:M39"/>
    <mergeCell ref="N39:O39"/>
    <mergeCell ref="P39:R39"/>
    <mergeCell ref="A40:B40"/>
    <mergeCell ref="E40:F40"/>
    <mergeCell ref="G40:H40"/>
    <mergeCell ref="I40:J40"/>
    <mergeCell ref="L40:M40"/>
    <mergeCell ref="N40:O40"/>
    <mergeCell ref="I37:J37"/>
    <mergeCell ref="L37:M37"/>
    <mergeCell ref="N37:O37"/>
    <mergeCell ref="P37:R37"/>
    <mergeCell ref="I38:J38"/>
    <mergeCell ref="L38:M38"/>
    <mergeCell ref="N38:O38"/>
    <mergeCell ref="P38:R38"/>
    <mergeCell ref="I35:J35"/>
    <mergeCell ref="L35:M35"/>
    <mergeCell ref="N35:O35"/>
    <mergeCell ref="P35:R35"/>
    <mergeCell ref="I36:J36"/>
    <mergeCell ref="L36:M36"/>
    <mergeCell ref="N36:O36"/>
    <mergeCell ref="P36:R36"/>
    <mergeCell ref="I34:J34"/>
    <mergeCell ref="L34:M34"/>
    <mergeCell ref="N34:O34"/>
    <mergeCell ref="P34:R34"/>
    <mergeCell ref="I31:J31"/>
    <mergeCell ref="L31:M31"/>
    <mergeCell ref="N31:O31"/>
    <mergeCell ref="P31:R31"/>
    <mergeCell ref="I32:J32"/>
    <mergeCell ref="L32:M32"/>
    <mergeCell ref="N32:O32"/>
    <mergeCell ref="P32:R32"/>
    <mergeCell ref="I29:J29"/>
    <mergeCell ref="L29:M29"/>
    <mergeCell ref="N29:O29"/>
    <mergeCell ref="P29:R29"/>
    <mergeCell ref="I30:J30"/>
    <mergeCell ref="L30:M30"/>
    <mergeCell ref="N30:O30"/>
    <mergeCell ref="P30:R30"/>
    <mergeCell ref="I33:J33"/>
    <mergeCell ref="L33:M33"/>
    <mergeCell ref="N33:O33"/>
    <mergeCell ref="P33:R33"/>
    <mergeCell ref="A28:B28"/>
    <mergeCell ref="E28:F28"/>
    <mergeCell ref="G28:H28"/>
    <mergeCell ref="I28:J28"/>
    <mergeCell ref="L28:M28"/>
    <mergeCell ref="N28:O28"/>
    <mergeCell ref="P26:R26"/>
    <mergeCell ref="A27:B27"/>
    <mergeCell ref="E27:F27"/>
    <mergeCell ref="G27:H27"/>
    <mergeCell ref="I27:J27"/>
    <mergeCell ref="L27:M27"/>
    <mergeCell ref="N27:O27"/>
    <mergeCell ref="P27:R27"/>
    <mergeCell ref="A26:B26"/>
    <mergeCell ref="E26:F26"/>
    <mergeCell ref="G26:H26"/>
    <mergeCell ref="I26:J26"/>
    <mergeCell ref="L26:M26"/>
    <mergeCell ref="N26:O26"/>
    <mergeCell ref="P28:R28"/>
    <mergeCell ref="G24:H24"/>
    <mergeCell ref="I24:J24"/>
    <mergeCell ref="L24:M24"/>
    <mergeCell ref="N24:O24"/>
    <mergeCell ref="P24:R24"/>
    <mergeCell ref="G25:H25"/>
    <mergeCell ref="I25:J25"/>
    <mergeCell ref="L25:M25"/>
    <mergeCell ref="N25:O25"/>
    <mergeCell ref="P25:R25"/>
    <mergeCell ref="P22:R22"/>
    <mergeCell ref="A23:B23"/>
    <mergeCell ref="E23:F23"/>
    <mergeCell ref="G23:H23"/>
    <mergeCell ref="I23:J23"/>
    <mergeCell ref="L23:M23"/>
    <mergeCell ref="N23:O23"/>
    <mergeCell ref="P23:R23"/>
    <mergeCell ref="A22:B22"/>
    <mergeCell ref="E22:F22"/>
    <mergeCell ref="G22:H22"/>
    <mergeCell ref="I22:J22"/>
    <mergeCell ref="L22:M22"/>
    <mergeCell ref="N22:O22"/>
    <mergeCell ref="P20:R20"/>
    <mergeCell ref="A21:B21"/>
    <mergeCell ref="E21:F21"/>
    <mergeCell ref="G21:H21"/>
    <mergeCell ref="I21:J21"/>
    <mergeCell ref="L21:M21"/>
    <mergeCell ref="N21:O21"/>
    <mergeCell ref="P21:R21"/>
    <mergeCell ref="A20:B20"/>
    <mergeCell ref="E20:F20"/>
    <mergeCell ref="G20:H20"/>
    <mergeCell ref="I20:J20"/>
    <mergeCell ref="L20:M20"/>
    <mergeCell ref="N20:O20"/>
    <mergeCell ref="P18:R18"/>
    <mergeCell ref="A19:B19"/>
    <mergeCell ref="E19:F19"/>
    <mergeCell ref="G19:H19"/>
    <mergeCell ref="I19:J19"/>
    <mergeCell ref="L19:M19"/>
    <mergeCell ref="N19:O19"/>
    <mergeCell ref="P19:R19"/>
    <mergeCell ref="A18:B18"/>
    <mergeCell ref="E18:F18"/>
    <mergeCell ref="G18:H18"/>
    <mergeCell ref="I18:J18"/>
    <mergeCell ref="L18:M18"/>
    <mergeCell ref="N18:O18"/>
    <mergeCell ref="A17:B17"/>
    <mergeCell ref="E17:F17"/>
    <mergeCell ref="G17:H17"/>
    <mergeCell ref="I17:J17"/>
    <mergeCell ref="L17:M17"/>
    <mergeCell ref="N17:O17"/>
    <mergeCell ref="P17:R17"/>
    <mergeCell ref="A16:B16"/>
    <mergeCell ref="E16:F16"/>
    <mergeCell ref="G16:H16"/>
    <mergeCell ref="I16:J16"/>
    <mergeCell ref="L16:M16"/>
    <mergeCell ref="N16:O16"/>
    <mergeCell ref="P13:R14"/>
    <mergeCell ref="A15:B15"/>
    <mergeCell ref="E15:F15"/>
    <mergeCell ref="G15:H15"/>
    <mergeCell ref="I15:J15"/>
    <mergeCell ref="L15:M15"/>
    <mergeCell ref="N15:O15"/>
    <mergeCell ref="P15:R15"/>
    <mergeCell ref="P16:R16"/>
    <mergeCell ref="A13:B14"/>
    <mergeCell ref="C13:C14"/>
    <mergeCell ref="D13:D14"/>
    <mergeCell ref="E13:F14"/>
    <mergeCell ref="G13:H14"/>
    <mergeCell ref="I13:J14"/>
    <mergeCell ref="K13:K14"/>
    <mergeCell ref="L13:M14"/>
    <mergeCell ref="N13:O14"/>
    <mergeCell ref="A1:R1"/>
    <mergeCell ref="A2:R2"/>
    <mergeCell ref="A3:R3"/>
    <mergeCell ref="A5:R5"/>
    <mergeCell ref="A6:R6"/>
    <mergeCell ref="A7:D9"/>
    <mergeCell ref="I7:K7"/>
    <mergeCell ref="O7:Q7"/>
    <mergeCell ref="I8:K8"/>
    <mergeCell ref="O8:Q8"/>
    <mergeCell ref="I9:K9"/>
    <mergeCell ref="O9:Q9"/>
  </mergeCells>
  <conditionalFormatting sqref="D15:D23">
    <cfRule type="containsText" dxfId="1" priority="1" operator="containsText" text="Cancelled">
      <formula>NOT(ISERROR(SEARCH("Cancelled",D15)))</formula>
    </cfRule>
  </conditionalFormatting>
  <pageMargins left="0.19685039370078741" right="0.39370078740157483" top="0.39370078740157483" bottom="0.39370078740157483" header="0.39370078740157483" footer="0.39370078740157483"/>
  <pageSetup scale="72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6401-68C6-4881-BF72-B3F62E7304F5}">
  <dimension ref="A1:R48"/>
  <sheetViews>
    <sheetView tabSelected="1" view="pageBreakPreview" topLeftCell="A4" zoomScale="85" zoomScaleNormal="40" zoomScaleSheetLayoutView="85" workbookViewId="0">
      <selection activeCell="A7" sqref="A7:D9"/>
    </sheetView>
  </sheetViews>
  <sheetFormatPr defaultRowHeight="15" x14ac:dyDescent="0.25"/>
  <cols>
    <col min="3" max="3" width="19.5703125" customWidth="1"/>
    <col min="4" max="4" width="16.7109375" customWidth="1"/>
    <col min="6" max="6" width="10.140625" customWidth="1"/>
    <col min="8" max="8" width="6.42578125" customWidth="1"/>
    <col min="18" max="18" width="7" customWidth="1"/>
    <col min="19" max="19" width="4.7109375" customWidth="1"/>
  </cols>
  <sheetData>
    <row r="1" spans="1:18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x14ac:dyDescent="0.2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x14ac:dyDescent="0.25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x14ac:dyDescent="0.25">
      <c r="D4" s="1"/>
    </row>
    <row r="5" spans="1:18" x14ac:dyDescent="0.25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8" x14ac:dyDescent="0.25">
      <c r="A7" s="32"/>
      <c r="B7" s="32"/>
      <c r="C7" s="32"/>
      <c r="D7" s="32"/>
      <c r="E7" s="2"/>
      <c r="F7" s="2"/>
      <c r="H7" s="3" t="s">
        <v>4</v>
      </c>
      <c r="I7" s="34"/>
      <c r="J7" s="34"/>
      <c r="K7" s="34"/>
      <c r="N7" s="4" t="s">
        <v>5</v>
      </c>
      <c r="O7" s="35" t="s">
        <v>41</v>
      </c>
      <c r="P7" s="35"/>
      <c r="Q7" s="35"/>
    </row>
    <row r="8" spans="1:18" x14ac:dyDescent="0.25">
      <c r="A8" s="32"/>
      <c r="B8" s="32"/>
      <c r="C8" s="32"/>
      <c r="D8" s="32"/>
      <c r="I8" s="36"/>
      <c r="J8" s="31"/>
      <c r="K8" s="31"/>
      <c r="O8" s="37"/>
      <c r="P8" s="37"/>
      <c r="Q8" s="37"/>
    </row>
    <row r="9" spans="1:18" x14ac:dyDescent="0.25">
      <c r="A9" s="33"/>
      <c r="B9" s="33"/>
      <c r="C9" s="33"/>
      <c r="D9" s="33"/>
      <c r="G9" s="30" t="s">
        <v>40</v>
      </c>
      <c r="H9" s="31"/>
      <c r="I9" s="30"/>
      <c r="J9" s="30"/>
      <c r="K9" s="30"/>
      <c r="O9" s="38"/>
      <c r="P9" s="38"/>
      <c r="Q9" s="38"/>
    </row>
    <row r="10" spans="1:18" x14ac:dyDescent="0.25">
      <c r="B10" t="s">
        <v>6</v>
      </c>
      <c r="D10" s="1"/>
    </row>
    <row r="11" spans="1:18" x14ac:dyDescent="0.25">
      <c r="A11" t="s">
        <v>7</v>
      </c>
      <c r="D11" s="1"/>
    </row>
    <row r="12" spans="1:18" ht="15.75" thickBot="1" x14ac:dyDescent="0.3">
      <c r="D12" s="1"/>
      <c r="J12" s="5"/>
      <c r="K12" s="5"/>
    </row>
    <row r="13" spans="1:18" x14ac:dyDescent="0.25">
      <c r="A13" s="58" t="s">
        <v>8</v>
      </c>
      <c r="B13" s="41"/>
      <c r="C13" s="59" t="s">
        <v>9</v>
      </c>
      <c r="D13" s="61" t="s">
        <v>10</v>
      </c>
      <c r="E13" s="58" t="s">
        <v>11</v>
      </c>
      <c r="F13" s="41"/>
      <c r="G13" s="58" t="s">
        <v>12</v>
      </c>
      <c r="H13" s="41"/>
      <c r="I13" s="58"/>
      <c r="J13" s="41"/>
      <c r="K13" s="59" t="s">
        <v>13</v>
      </c>
      <c r="L13" s="58" t="s">
        <v>14</v>
      </c>
      <c r="M13" s="41"/>
      <c r="N13" s="58" t="s">
        <v>39</v>
      </c>
      <c r="O13" s="41"/>
      <c r="P13" s="39" t="s">
        <v>16</v>
      </c>
      <c r="Q13" s="40"/>
      <c r="R13" s="41"/>
    </row>
    <row r="14" spans="1:18" ht="15.75" thickBot="1" x14ac:dyDescent="0.3">
      <c r="A14" s="42"/>
      <c r="B14" s="44"/>
      <c r="C14" s="60"/>
      <c r="D14" s="62"/>
      <c r="E14" s="42"/>
      <c r="F14" s="44"/>
      <c r="G14" s="42"/>
      <c r="H14" s="44"/>
      <c r="I14" s="42"/>
      <c r="J14" s="44"/>
      <c r="K14" s="60"/>
      <c r="L14" s="42"/>
      <c r="M14" s="44"/>
      <c r="N14" s="42"/>
      <c r="O14" s="44"/>
      <c r="P14" s="42"/>
      <c r="Q14" s="43"/>
      <c r="R14" s="44"/>
    </row>
    <row r="15" spans="1:18" ht="15.75" thickBot="1" x14ac:dyDescent="0.3">
      <c r="A15" s="45"/>
      <c r="B15" s="46"/>
      <c r="C15" s="22"/>
      <c r="D15" s="20"/>
      <c r="E15" s="47"/>
      <c r="F15" s="48"/>
      <c r="G15" s="49"/>
      <c r="H15" s="50"/>
      <c r="I15" s="51"/>
      <c r="J15" s="52"/>
      <c r="K15" s="6" t="s">
        <v>17</v>
      </c>
      <c r="L15" s="53">
        <f>(I15*0.01)*7</f>
        <v>0</v>
      </c>
      <c r="M15" s="54"/>
      <c r="N15" s="55">
        <f>L15*0.24</f>
        <v>0</v>
      </c>
      <c r="O15" s="56"/>
      <c r="P15" s="53">
        <f t="shared" ref="P15:P34" si="0">L15+N15</f>
        <v>0</v>
      </c>
      <c r="Q15" s="57"/>
      <c r="R15" s="54"/>
    </row>
    <row r="16" spans="1:18" ht="15.75" thickBot="1" x14ac:dyDescent="0.3">
      <c r="A16" s="45"/>
      <c r="B16" s="46"/>
      <c r="C16" s="23"/>
      <c r="D16" s="20"/>
      <c r="E16" s="47"/>
      <c r="F16" s="48"/>
      <c r="G16" s="49"/>
      <c r="H16" s="50"/>
      <c r="I16" s="51"/>
      <c r="J16" s="52"/>
      <c r="K16" s="6" t="s">
        <v>18</v>
      </c>
      <c r="L16" s="53">
        <f>(I16*0.01)*6</f>
        <v>0</v>
      </c>
      <c r="M16" s="54"/>
      <c r="N16" s="55">
        <f t="shared" ref="N16:N19" si="1">L16*0.24</f>
        <v>0</v>
      </c>
      <c r="O16" s="56"/>
      <c r="P16" s="53">
        <f t="shared" si="0"/>
        <v>0</v>
      </c>
      <c r="Q16" s="57"/>
      <c r="R16" s="54"/>
    </row>
    <row r="17" spans="1:18" ht="15.75" thickBot="1" x14ac:dyDescent="0.3">
      <c r="A17" s="45"/>
      <c r="B17" s="46"/>
      <c r="C17" s="23"/>
      <c r="D17" s="20"/>
      <c r="E17" s="47"/>
      <c r="F17" s="48"/>
      <c r="G17" s="49"/>
      <c r="H17" s="50"/>
      <c r="I17" s="51"/>
      <c r="J17" s="52"/>
      <c r="K17" s="6">
        <v>1986</v>
      </c>
      <c r="L17" s="53">
        <f>I17*0.01</f>
        <v>0</v>
      </c>
      <c r="M17" s="54"/>
      <c r="N17" s="55">
        <f t="shared" si="1"/>
        <v>0</v>
      </c>
      <c r="O17" s="56"/>
      <c r="P17" s="53">
        <f t="shared" si="0"/>
        <v>0</v>
      </c>
      <c r="Q17" s="57"/>
      <c r="R17" s="54"/>
    </row>
    <row r="18" spans="1:18" ht="15.75" thickBot="1" x14ac:dyDescent="0.3">
      <c r="A18" s="45"/>
      <c r="B18" s="46"/>
      <c r="C18" s="23"/>
      <c r="D18" s="20"/>
      <c r="E18" s="47"/>
      <c r="F18" s="48"/>
      <c r="G18" s="49"/>
      <c r="H18" s="50"/>
      <c r="I18" s="51"/>
      <c r="J18" s="52"/>
      <c r="K18" s="6" t="s">
        <v>19</v>
      </c>
      <c r="L18" s="53">
        <f>(I18*0.01)*5</f>
        <v>0</v>
      </c>
      <c r="M18" s="54"/>
      <c r="N18" s="55">
        <f t="shared" si="1"/>
        <v>0</v>
      </c>
      <c r="O18" s="56"/>
      <c r="P18" s="53">
        <f t="shared" si="0"/>
        <v>0</v>
      </c>
      <c r="Q18" s="57"/>
      <c r="R18" s="54"/>
    </row>
    <row r="19" spans="1:18" ht="15.75" thickBot="1" x14ac:dyDescent="0.3">
      <c r="A19" s="45"/>
      <c r="B19" s="46"/>
      <c r="C19" s="23"/>
      <c r="D19" s="20"/>
      <c r="E19" s="47"/>
      <c r="F19" s="48"/>
      <c r="G19" s="49"/>
      <c r="H19" s="50"/>
      <c r="I19" s="51"/>
      <c r="J19" s="52"/>
      <c r="K19" s="6" t="s">
        <v>20</v>
      </c>
      <c r="L19" s="53">
        <f>(I19*0.01)*2</f>
        <v>0</v>
      </c>
      <c r="M19" s="54"/>
      <c r="N19" s="55">
        <f t="shared" si="1"/>
        <v>0</v>
      </c>
      <c r="O19" s="56"/>
      <c r="P19" s="53">
        <f t="shared" si="0"/>
        <v>0</v>
      </c>
      <c r="Q19" s="57"/>
      <c r="R19" s="54"/>
    </row>
    <row r="20" spans="1:18" ht="15.75" thickBot="1" x14ac:dyDescent="0.3">
      <c r="A20" s="45"/>
      <c r="B20" s="46"/>
      <c r="C20" s="23"/>
      <c r="D20" s="20"/>
      <c r="E20" s="47"/>
      <c r="F20" s="48"/>
      <c r="G20" s="49"/>
      <c r="H20" s="50"/>
      <c r="I20" s="51"/>
      <c r="J20" s="52"/>
      <c r="K20" s="6" t="s">
        <v>21</v>
      </c>
      <c r="L20" s="69">
        <f>(I20*0.01)*12</f>
        <v>0</v>
      </c>
      <c r="M20" s="70"/>
      <c r="N20" s="55">
        <f t="shared" ref="N20:N33" si="2">L20*0.72</f>
        <v>0</v>
      </c>
      <c r="O20" s="56"/>
      <c r="P20" s="53">
        <f t="shared" si="0"/>
        <v>0</v>
      </c>
      <c r="Q20" s="57"/>
      <c r="R20" s="54"/>
    </row>
    <row r="21" spans="1:18" ht="15.75" thickBot="1" x14ac:dyDescent="0.3">
      <c r="A21" s="45"/>
      <c r="B21" s="46"/>
      <c r="C21" s="23"/>
      <c r="D21" s="20"/>
      <c r="E21" s="63"/>
      <c r="F21" s="64"/>
      <c r="G21" s="65"/>
      <c r="H21" s="66"/>
      <c r="I21" s="67"/>
      <c r="J21" s="68"/>
      <c r="K21" s="6" t="s">
        <v>22</v>
      </c>
      <c r="L21" s="69">
        <f>(I21*0.01)*6</f>
        <v>0</v>
      </c>
      <c r="M21" s="70"/>
      <c r="N21" s="55">
        <f t="shared" si="2"/>
        <v>0</v>
      </c>
      <c r="O21" s="56"/>
      <c r="P21" s="53">
        <f t="shared" si="0"/>
        <v>0</v>
      </c>
      <c r="Q21" s="57"/>
      <c r="R21" s="54"/>
    </row>
    <row r="22" spans="1:18" ht="15.75" thickBot="1" x14ac:dyDescent="0.3">
      <c r="A22" s="45"/>
      <c r="B22" s="46"/>
      <c r="C22" s="23"/>
      <c r="D22" s="20"/>
      <c r="E22" s="63"/>
      <c r="F22" s="64"/>
      <c r="G22" s="65"/>
      <c r="H22" s="66"/>
      <c r="I22" s="67"/>
      <c r="J22" s="68"/>
      <c r="K22" s="6">
        <v>2012</v>
      </c>
      <c r="L22" s="69">
        <f t="shared" ref="L22:L33" si="3">I22*0.01</f>
        <v>0</v>
      </c>
      <c r="M22" s="70"/>
      <c r="N22" s="55">
        <f t="shared" si="2"/>
        <v>0</v>
      </c>
      <c r="O22" s="56"/>
      <c r="P22" s="53">
        <f t="shared" si="0"/>
        <v>0</v>
      </c>
      <c r="Q22" s="57"/>
      <c r="R22" s="54"/>
    </row>
    <row r="23" spans="1:18" ht="15.75" thickBot="1" x14ac:dyDescent="0.3">
      <c r="A23" s="45"/>
      <c r="B23" s="46"/>
      <c r="C23" s="23"/>
      <c r="D23" s="20"/>
      <c r="E23" s="63"/>
      <c r="F23" s="64"/>
      <c r="G23" s="49"/>
      <c r="H23" s="50"/>
      <c r="I23" s="67"/>
      <c r="J23" s="68"/>
      <c r="K23" s="6">
        <v>2013</v>
      </c>
      <c r="L23" s="69">
        <f t="shared" si="3"/>
        <v>0</v>
      </c>
      <c r="M23" s="70"/>
      <c r="N23" s="55">
        <f t="shared" si="2"/>
        <v>0</v>
      </c>
      <c r="O23" s="56"/>
      <c r="P23" s="53">
        <f t="shared" si="0"/>
        <v>0</v>
      </c>
      <c r="Q23" s="57"/>
      <c r="R23" s="54"/>
    </row>
    <row r="24" spans="1:18" ht="15.75" thickBot="1" x14ac:dyDescent="0.3">
      <c r="A24" s="26"/>
      <c r="B24" s="27"/>
      <c r="C24" s="9"/>
      <c r="D24" s="21">
        <f>SUM(D15:D23)</f>
        <v>0</v>
      </c>
      <c r="E24" s="28"/>
      <c r="F24" s="29"/>
      <c r="G24" s="73"/>
      <c r="H24" s="74"/>
      <c r="I24" s="67"/>
      <c r="J24" s="68"/>
      <c r="K24" s="6">
        <v>2014</v>
      </c>
      <c r="L24" s="69">
        <f t="shared" si="3"/>
        <v>0</v>
      </c>
      <c r="M24" s="70"/>
      <c r="N24" s="55">
        <f t="shared" si="2"/>
        <v>0</v>
      </c>
      <c r="O24" s="56"/>
      <c r="P24" s="53">
        <f t="shared" si="0"/>
        <v>0</v>
      </c>
      <c r="Q24" s="57"/>
      <c r="R24" s="54"/>
    </row>
    <row r="25" spans="1:18" ht="15.75" thickBot="1" x14ac:dyDescent="0.3">
      <c r="A25" s="26"/>
      <c r="B25" s="27"/>
      <c r="C25" s="10"/>
      <c r="D25" s="11"/>
      <c r="E25" s="26"/>
      <c r="F25" s="27"/>
      <c r="G25" s="51"/>
      <c r="H25" s="52"/>
      <c r="I25" s="67"/>
      <c r="J25" s="68"/>
      <c r="K25" s="6">
        <v>2015</v>
      </c>
      <c r="L25" s="69">
        <f>I25*0.01</f>
        <v>0</v>
      </c>
      <c r="M25" s="70"/>
      <c r="N25" s="55">
        <f t="shared" si="2"/>
        <v>0</v>
      </c>
      <c r="O25" s="56"/>
      <c r="P25" s="53">
        <f t="shared" si="0"/>
        <v>0</v>
      </c>
      <c r="Q25" s="57"/>
      <c r="R25" s="54"/>
    </row>
    <row r="26" spans="1:18" ht="15.75" thickBot="1" x14ac:dyDescent="0.3">
      <c r="A26" s="75"/>
      <c r="B26" s="76"/>
      <c r="C26" s="12"/>
      <c r="D26" s="11"/>
      <c r="E26" s="75"/>
      <c r="F26" s="76"/>
      <c r="G26" s="67"/>
      <c r="H26" s="68"/>
      <c r="I26" s="67"/>
      <c r="J26" s="68"/>
      <c r="K26" s="6">
        <v>2016</v>
      </c>
      <c r="L26" s="69">
        <f t="shared" si="3"/>
        <v>0</v>
      </c>
      <c r="M26" s="70"/>
      <c r="N26" s="55">
        <f t="shared" si="2"/>
        <v>0</v>
      </c>
      <c r="O26" s="56"/>
      <c r="P26" s="53">
        <f t="shared" si="0"/>
        <v>0</v>
      </c>
      <c r="Q26" s="57"/>
      <c r="R26" s="54"/>
    </row>
    <row r="27" spans="1:18" ht="15.75" thickBot="1" x14ac:dyDescent="0.3">
      <c r="A27" s="75"/>
      <c r="B27" s="76"/>
      <c r="C27" s="10"/>
      <c r="D27" s="13"/>
      <c r="E27" s="75"/>
      <c r="F27" s="76"/>
      <c r="G27" s="75"/>
      <c r="H27" s="76"/>
      <c r="I27" s="67"/>
      <c r="J27" s="68"/>
      <c r="K27" s="6">
        <v>2017</v>
      </c>
      <c r="L27" s="69">
        <f t="shared" si="3"/>
        <v>0</v>
      </c>
      <c r="M27" s="70"/>
      <c r="N27" s="55">
        <f t="shared" si="2"/>
        <v>0</v>
      </c>
      <c r="O27" s="56"/>
      <c r="P27" s="53">
        <f t="shared" si="0"/>
        <v>0</v>
      </c>
      <c r="Q27" s="57"/>
      <c r="R27" s="54"/>
    </row>
    <row r="28" spans="1:18" ht="15.75" thickBot="1" x14ac:dyDescent="0.3">
      <c r="A28" s="75"/>
      <c r="B28" s="76"/>
      <c r="C28" s="12"/>
      <c r="D28" s="13"/>
      <c r="E28" s="75"/>
      <c r="F28" s="76"/>
      <c r="G28" s="75"/>
      <c r="H28" s="76"/>
      <c r="I28" s="67"/>
      <c r="J28" s="68"/>
      <c r="K28" s="6">
        <v>2018</v>
      </c>
      <c r="L28" s="69">
        <f>I28*0.01</f>
        <v>0</v>
      </c>
      <c r="M28" s="70"/>
      <c r="N28" s="55">
        <f t="shared" si="2"/>
        <v>0</v>
      </c>
      <c r="O28" s="56"/>
      <c r="P28" s="53">
        <f t="shared" si="0"/>
        <v>0</v>
      </c>
      <c r="Q28" s="57"/>
      <c r="R28" s="54"/>
    </row>
    <row r="29" spans="1:18" ht="15.75" thickBot="1" x14ac:dyDescent="0.3">
      <c r="A29" s="26"/>
      <c r="B29" s="27"/>
      <c r="C29" s="12"/>
      <c r="D29" s="13"/>
      <c r="E29" s="26"/>
      <c r="F29" s="27"/>
      <c r="G29" s="26"/>
      <c r="H29" s="27"/>
      <c r="I29" s="67"/>
      <c r="J29" s="68"/>
      <c r="K29" s="6">
        <v>2019</v>
      </c>
      <c r="L29" s="53">
        <f t="shared" si="3"/>
        <v>0</v>
      </c>
      <c r="M29" s="54"/>
      <c r="N29" s="55">
        <f t="shared" si="2"/>
        <v>0</v>
      </c>
      <c r="O29" s="56"/>
      <c r="P29" s="53">
        <f t="shared" si="0"/>
        <v>0</v>
      </c>
      <c r="Q29" s="57"/>
      <c r="R29" s="54"/>
    </row>
    <row r="30" spans="1:18" ht="15.75" thickBot="1" x14ac:dyDescent="0.3">
      <c r="A30" s="26"/>
      <c r="B30" s="27"/>
      <c r="C30" s="12"/>
      <c r="D30" s="13"/>
      <c r="E30" s="26"/>
      <c r="F30" s="27"/>
      <c r="G30" s="26"/>
      <c r="H30" s="27"/>
      <c r="I30" s="67"/>
      <c r="J30" s="68"/>
      <c r="K30" s="6">
        <v>2020</v>
      </c>
      <c r="L30" s="53">
        <f>I30*0.01</f>
        <v>0</v>
      </c>
      <c r="M30" s="54"/>
      <c r="N30" s="55">
        <f t="shared" si="2"/>
        <v>0</v>
      </c>
      <c r="O30" s="56"/>
      <c r="P30" s="53">
        <f t="shared" si="0"/>
        <v>0</v>
      </c>
      <c r="Q30" s="57"/>
      <c r="R30" s="54"/>
    </row>
    <row r="31" spans="1:18" ht="15.75" thickBot="1" x14ac:dyDescent="0.3">
      <c r="A31" s="26"/>
      <c r="B31" s="27"/>
      <c r="C31" s="12"/>
      <c r="D31" s="13"/>
      <c r="E31" s="26"/>
      <c r="F31" s="27"/>
      <c r="G31" s="26"/>
      <c r="H31" s="27"/>
      <c r="I31" s="67"/>
      <c r="J31" s="68"/>
      <c r="K31" s="6">
        <v>2021</v>
      </c>
      <c r="L31" s="53">
        <f t="shared" si="3"/>
        <v>0</v>
      </c>
      <c r="M31" s="54"/>
      <c r="N31" s="55">
        <f t="shared" si="2"/>
        <v>0</v>
      </c>
      <c r="O31" s="56"/>
      <c r="P31" s="53">
        <f t="shared" si="0"/>
        <v>0</v>
      </c>
      <c r="Q31" s="57"/>
      <c r="R31" s="54"/>
    </row>
    <row r="32" spans="1:18" ht="15.75" thickBot="1" x14ac:dyDescent="0.3">
      <c r="A32" s="26"/>
      <c r="B32" s="27"/>
      <c r="C32" s="12"/>
      <c r="D32" s="13"/>
      <c r="E32" s="26"/>
      <c r="F32" s="27"/>
      <c r="G32" s="26"/>
      <c r="H32" s="27"/>
      <c r="I32" s="67"/>
      <c r="J32" s="68"/>
      <c r="K32" s="6">
        <v>2022</v>
      </c>
      <c r="L32" s="53">
        <f>I32*0.01</f>
        <v>0</v>
      </c>
      <c r="M32" s="54"/>
      <c r="N32" s="55">
        <f t="shared" si="2"/>
        <v>0</v>
      </c>
      <c r="O32" s="56"/>
      <c r="P32" s="53">
        <f t="shared" si="0"/>
        <v>0</v>
      </c>
      <c r="Q32" s="57"/>
      <c r="R32" s="54"/>
    </row>
    <row r="33" spans="1:18" ht="15.75" thickBot="1" x14ac:dyDescent="0.3">
      <c r="A33" s="26"/>
      <c r="B33" s="27"/>
      <c r="C33" s="12"/>
      <c r="D33" s="13"/>
      <c r="E33" s="26"/>
      <c r="F33" s="27"/>
      <c r="G33" s="26"/>
      <c r="H33" s="27"/>
      <c r="I33" s="67"/>
      <c r="J33" s="68"/>
      <c r="K33" s="6">
        <v>2023</v>
      </c>
      <c r="L33" s="53">
        <f t="shared" si="3"/>
        <v>0</v>
      </c>
      <c r="M33" s="54"/>
      <c r="N33" s="55">
        <f t="shared" si="2"/>
        <v>0</v>
      </c>
      <c r="O33" s="56"/>
      <c r="P33" s="53">
        <f t="shared" si="0"/>
        <v>0</v>
      </c>
      <c r="Q33" s="57"/>
      <c r="R33" s="54"/>
    </row>
    <row r="34" spans="1:18" ht="15.75" thickBot="1" x14ac:dyDescent="0.3">
      <c r="A34" s="26"/>
      <c r="B34" s="27"/>
      <c r="C34" s="12"/>
      <c r="D34" s="13"/>
      <c r="E34" s="26"/>
      <c r="F34" s="27"/>
      <c r="G34" s="26"/>
      <c r="H34" s="27"/>
      <c r="I34" s="67"/>
      <c r="J34" s="68"/>
      <c r="K34" s="6">
        <v>2024</v>
      </c>
      <c r="L34" s="53">
        <f>(I34*0.01)</f>
        <v>0</v>
      </c>
      <c r="M34" s="54"/>
      <c r="N34" s="77">
        <f>L34*0.66</f>
        <v>0</v>
      </c>
      <c r="O34" s="78"/>
      <c r="P34" s="53">
        <f t="shared" si="0"/>
        <v>0</v>
      </c>
      <c r="Q34" s="57"/>
      <c r="R34" s="54"/>
    </row>
    <row r="35" spans="1:18" ht="15.75" thickBot="1" x14ac:dyDescent="0.3">
      <c r="A35" s="26"/>
      <c r="B35" s="27"/>
      <c r="C35" s="12"/>
      <c r="D35" s="13"/>
      <c r="E35" s="26"/>
      <c r="F35" s="27"/>
      <c r="G35" s="26"/>
      <c r="H35" s="27"/>
      <c r="I35" s="67"/>
      <c r="J35" s="68"/>
      <c r="K35" s="6">
        <v>2025</v>
      </c>
      <c r="L35" s="53">
        <f t="shared" ref="L35" si="4">(I35*0.01)</f>
        <v>0</v>
      </c>
      <c r="M35" s="54"/>
      <c r="N35" s="77">
        <f>L35*0.42</f>
        <v>0</v>
      </c>
      <c r="O35" s="78"/>
      <c r="P35" s="53">
        <f t="shared" ref="P35" si="5">L35+N35</f>
        <v>0</v>
      </c>
      <c r="Q35" s="57"/>
      <c r="R35" s="54"/>
    </row>
    <row r="36" spans="1:18" ht="15.75" thickBot="1" x14ac:dyDescent="0.3">
      <c r="A36" s="26"/>
      <c r="B36" s="27"/>
      <c r="C36" s="12"/>
      <c r="D36" s="13"/>
      <c r="E36" s="26"/>
      <c r="F36" s="27"/>
      <c r="G36" s="26"/>
      <c r="H36" s="27"/>
      <c r="I36" s="67"/>
      <c r="J36" s="68"/>
      <c r="K36" s="6" t="s">
        <v>36</v>
      </c>
      <c r="L36" s="53">
        <f>(I36*0.01)*0.5</f>
        <v>0</v>
      </c>
      <c r="M36" s="54"/>
      <c r="N36" s="77">
        <f>L36*0.18</f>
        <v>0</v>
      </c>
      <c r="O36" s="78"/>
      <c r="P36" s="53">
        <f t="shared" ref="P36:P37" si="6">L36+N36</f>
        <v>0</v>
      </c>
      <c r="Q36" s="57"/>
      <c r="R36" s="54"/>
    </row>
    <row r="37" spans="1:18" ht="15.75" thickBot="1" x14ac:dyDescent="0.3">
      <c r="A37" s="26"/>
      <c r="B37" s="27"/>
      <c r="C37" s="12"/>
      <c r="D37" s="13"/>
      <c r="E37" s="26"/>
      <c r="F37" s="27"/>
      <c r="G37" s="26"/>
      <c r="H37" s="27"/>
      <c r="I37" s="67"/>
      <c r="J37" s="68"/>
      <c r="K37" s="6" t="s">
        <v>38</v>
      </c>
      <c r="L37" s="53">
        <f>(I37*0.01)*0.5</f>
        <v>0</v>
      </c>
      <c r="M37" s="54"/>
      <c r="N37" s="77"/>
      <c r="O37" s="78"/>
      <c r="P37" s="53">
        <f t="shared" si="6"/>
        <v>0</v>
      </c>
      <c r="Q37" s="57"/>
      <c r="R37" s="54"/>
    </row>
    <row r="38" spans="1:18" ht="15.75" thickBot="1" x14ac:dyDescent="0.3">
      <c r="A38" s="26"/>
      <c r="B38" s="27"/>
      <c r="C38" s="12"/>
      <c r="D38" s="13"/>
      <c r="E38" s="26"/>
      <c r="F38" s="27"/>
      <c r="G38" s="26"/>
      <c r="H38" s="27"/>
      <c r="I38" s="67"/>
      <c r="J38" s="68"/>
      <c r="K38" s="6">
        <v>2027</v>
      </c>
      <c r="L38" s="53">
        <f>I38*0.01</f>
        <v>0</v>
      </c>
      <c r="M38" s="54"/>
      <c r="N38" s="96">
        <f>L38*0.2</f>
        <v>0</v>
      </c>
      <c r="O38" s="97"/>
      <c r="P38" s="53">
        <f>L38-N38</f>
        <v>0</v>
      </c>
      <c r="Q38" s="57"/>
      <c r="R38" s="54"/>
    </row>
    <row r="39" spans="1:18" ht="15.75" thickBot="1" x14ac:dyDescent="0.3">
      <c r="A39" s="26"/>
      <c r="B39" s="27"/>
      <c r="C39" s="12"/>
      <c r="D39" s="13"/>
      <c r="E39" s="26"/>
      <c r="F39" s="27"/>
      <c r="G39" s="26"/>
      <c r="H39" s="27"/>
      <c r="I39" s="51"/>
      <c r="J39" s="52"/>
      <c r="K39" s="6"/>
      <c r="L39" s="53"/>
      <c r="M39" s="54"/>
      <c r="N39" s="86"/>
      <c r="O39" s="87"/>
      <c r="P39" s="53"/>
      <c r="Q39" s="57"/>
      <c r="R39" s="54"/>
    </row>
    <row r="40" spans="1:18" ht="18" thickBot="1" x14ac:dyDescent="0.35">
      <c r="A40" s="75"/>
      <c r="B40" s="76"/>
      <c r="C40" s="12"/>
      <c r="D40" s="13"/>
      <c r="E40" s="75"/>
      <c r="F40" s="76"/>
      <c r="G40" s="75"/>
      <c r="H40" s="76"/>
      <c r="I40" s="51"/>
      <c r="J40" s="52"/>
      <c r="K40" s="12"/>
      <c r="L40" s="69"/>
      <c r="M40" s="76"/>
      <c r="N40" s="88" t="s">
        <v>25</v>
      </c>
      <c r="O40" s="89"/>
      <c r="P40" s="98">
        <f>SUM(P15:R39)</f>
        <v>0</v>
      </c>
      <c r="Q40" s="99"/>
      <c r="R40" s="100"/>
    </row>
    <row r="41" spans="1:18" ht="18" thickBot="1" x14ac:dyDescent="0.35">
      <c r="A41" s="75"/>
      <c r="B41" s="76"/>
      <c r="C41" s="12"/>
      <c r="D41" s="13"/>
      <c r="E41" s="75"/>
      <c r="F41" s="76"/>
      <c r="G41" s="75"/>
      <c r="H41" s="76"/>
      <c r="I41" s="82"/>
      <c r="J41" s="83"/>
      <c r="K41" s="12"/>
      <c r="L41" s="75"/>
      <c r="M41" s="76"/>
      <c r="N41" s="84" t="s">
        <v>26</v>
      </c>
      <c r="O41" s="85"/>
      <c r="P41" s="98">
        <f>P40</f>
        <v>0</v>
      </c>
      <c r="Q41" s="99"/>
      <c r="R41" s="100"/>
    </row>
    <row r="42" spans="1:18" ht="24" thickBot="1" x14ac:dyDescent="0.4">
      <c r="A42" s="14"/>
      <c r="B42" s="15"/>
      <c r="C42" s="12"/>
      <c r="D42" s="13"/>
      <c r="E42" s="14"/>
      <c r="F42" s="15"/>
      <c r="G42" s="14"/>
      <c r="H42" s="15"/>
      <c r="I42" s="91"/>
      <c r="J42" s="92"/>
      <c r="K42" s="16"/>
      <c r="L42" s="14"/>
      <c r="M42" s="15"/>
      <c r="N42" s="84" t="s">
        <v>27</v>
      </c>
      <c r="O42" s="85"/>
      <c r="P42" s="101">
        <f>P40+P41</f>
        <v>0</v>
      </c>
      <c r="Q42" s="102"/>
      <c r="R42" s="103"/>
    </row>
    <row r="43" spans="1:18" x14ac:dyDescent="0.25">
      <c r="A43" t="s">
        <v>28</v>
      </c>
      <c r="D43" s="1"/>
      <c r="H43" t="s">
        <v>29</v>
      </c>
    </row>
    <row r="44" spans="1:18" x14ac:dyDescent="0.25">
      <c r="A44" s="17"/>
      <c r="B44" s="17"/>
      <c r="C44" s="17"/>
      <c r="D44" s="18"/>
      <c r="H44" s="17"/>
      <c r="I44" s="17"/>
      <c r="J44" s="17"/>
      <c r="K44" s="17"/>
      <c r="N44" s="30" t="s">
        <v>30</v>
      </c>
      <c r="O44" s="30"/>
      <c r="P44" s="30"/>
      <c r="Q44" s="19"/>
    </row>
    <row r="45" spans="1:18" x14ac:dyDescent="0.25">
      <c r="A45" s="90" t="s">
        <v>31</v>
      </c>
      <c r="B45" s="90"/>
      <c r="C45" s="90"/>
      <c r="D45" s="90"/>
      <c r="H45" s="90" t="s">
        <v>32</v>
      </c>
      <c r="I45" s="90"/>
      <c r="J45" s="90"/>
      <c r="K45" s="90"/>
      <c r="N45" s="31" t="s">
        <v>33</v>
      </c>
      <c r="O45" s="31"/>
      <c r="P45" s="31"/>
      <c r="R45" t="s">
        <v>34</v>
      </c>
    </row>
    <row r="46" spans="1:18" x14ac:dyDescent="0.25">
      <c r="D46" s="1"/>
    </row>
    <row r="47" spans="1:18" x14ac:dyDescent="0.25">
      <c r="D47" s="1"/>
    </row>
    <row r="48" spans="1:18" x14ac:dyDescent="0.25">
      <c r="A48" s="90"/>
      <c r="B48" s="90"/>
      <c r="C48" s="90"/>
      <c r="D48" s="90"/>
      <c r="H48" s="90"/>
      <c r="I48" s="90"/>
      <c r="J48" s="90"/>
      <c r="K48" s="90"/>
      <c r="N48" s="31"/>
      <c r="O48" s="31"/>
      <c r="P48" s="31"/>
    </row>
  </sheetData>
  <mergeCells count="185">
    <mergeCell ref="A48:D48"/>
    <mergeCell ref="H48:K48"/>
    <mergeCell ref="N48:P48"/>
    <mergeCell ref="I42:J42"/>
    <mergeCell ref="N42:O42"/>
    <mergeCell ref="P42:R42"/>
    <mergeCell ref="N44:P44"/>
    <mergeCell ref="A45:D45"/>
    <mergeCell ref="H45:K45"/>
    <mergeCell ref="N45:P45"/>
    <mergeCell ref="P40:R40"/>
    <mergeCell ref="A41:B41"/>
    <mergeCell ref="E41:F41"/>
    <mergeCell ref="G41:H41"/>
    <mergeCell ref="I41:J41"/>
    <mergeCell ref="L41:M41"/>
    <mergeCell ref="N41:O41"/>
    <mergeCell ref="P41:R41"/>
    <mergeCell ref="I39:J39"/>
    <mergeCell ref="L39:M39"/>
    <mergeCell ref="N39:O39"/>
    <mergeCell ref="P39:R39"/>
    <mergeCell ref="A40:B40"/>
    <mergeCell ref="E40:F40"/>
    <mergeCell ref="G40:H40"/>
    <mergeCell ref="I40:J40"/>
    <mergeCell ref="L40:M40"/>
    <mergeCell ref="N40:O40"/>
    <mergeCell ref="I37:J37"/>
    <mergeCell ref="L37:M37"/>
    <mergeCell ref="N37:O37"/>
    <mergeCell ref="P37:R37"/>
    <mergeCell ref="I38:J38"/>
    <mergeCell ref="L38:M38"/>
    <mergeCell ref="N38:O38"/>
    <mergeCell ref="P38:R38"/>
    <mergeCell ref="I35:J35"/>
    <mergeCell ref="L35:M35"/>
    <mergeCell ref="N35:O35"/>
    <mergeCell ref="P35:R35"/>
    <mergeCell ref="I36:J36"/>
    <mergeCell ref="L36:M36"/>
    <mergeCell ref="N36:O36"/>
    <mergeCell ref="P36:R36"/>
    <mergeCell ref="I34:J34"/>
    <mergeCell ref="L34:M34"/>
    <mergeCell ref="N34:O34"/>
    <mergeCell ref="P34:R34"/>
    <mergeCell ref="I31:J31"/>
    <mergeCell ref="L31:M31"/>
    <mergeCell ref="N31:O31"/>
    <mergeCell ref="P31:R31"/>
    <mergeCell ref="I32:J32"/>
    <mergeCell ref="L32:M32"/>
    <mergeCell ref="N32:O32"/>
    <mergeCell ref="P32:R32"/>
    <mergeCell ref="I29:J29"/>
    <mergeCell ref="L29:M29"/>
    <mergeCell ref="N29:O29"/>
    <mergeCell ref="P29:R29"/>
    <mergeCell ref="I30:J30"/>
    <mergeCell ref="L30:M30"/>
    <mergeCell ref="N30:O30"/>
    <mergeCell ref="P30:R30"/>
    <mergeCell ref="I33:J33"/>
    <mergeCell ref="L33:M33"/>
    <mergeCell ref="N33:O33"/>
    <mergeCell ref="P33:R33"/>
    <mergeCell ref="A28:B28"/>
    <mergeCell ref="E28:F28"/>
    <mergeCell ref="G28:H28"/>
    <mergeCell ref="I28:J28"/>
    <mergeCell ref="L28:M28"/>
    <mergeCell ref="N28:O28"/>
    <mergeCell ref="P26:R26"/>
    <mergeCell ref="A27:B27"/>
    <mergeCell ref="E27:F27"/>
    <mergeCell ref="G27:H27"/>
    <mergeCell ref="I27:J27"/>
    <mergeCell ref="L27:M27"/>
    <mergeCell ref="N27:O27"/>
    <mergeCell ref="P27:R27"/>
    <mergeCell ref="A26:B26"/>
    <mergeCell ref="E26:F26"/>
    <mergeCell ref="G26:H26"/>
    <mergeCell ref="I26:J26"/>
    <mergeCell ref="L26:M26"/>
    <mergeCell ref="N26:O26"/>
    <mergeCell ref="P28:R28"/>
    <mergeCell ref="G24:H24"/>
    <mergeCell ref="I24:J24"/>
    <mergeCell ref="L24:M24"/>
    <mergeCell ref="N24:O24"/>
    <mergeCell ref="P24:R24"/>
    <mergeCell ref="G25:H25"/>
    <mergeCell ref="I25:J25"/>
    <mergeCell ref="L25:M25"/>
    <mergeCell ref="N25:O25"/>
    <mergeCell ref="P25:R25"/>
    <mergeCell ref="P22:R22"/>
    <mergeCell ref="A23:B23"/>
    <mergeCell ref="E23:F23"/>
    <mergeCell ref="G23:H23"/>
    <mergeCell ref="I23:J23"/>
    <mergeCell ref="L23:M23"/>
    <mergeCell ref="N23:O23"/>
    <mergeCell ref="P23:R23"/>
    <mergeCell ref="A22:B22"/>
    <mergeCell ref="E22:F22"/>
    <mergeCell ref="G22:H22"/>
    <mergeCell ref="I22:J22"/>
    <mergeCell ref="L22:M22"/>
    <mergeCell ref="N22:O22"/>
    <mergeCell ref="P20:R20"/>
    <mergeCell ref="A21:B21"/>
    <mergeCell ref="E21:F21"/>
    <mergeCell ref="G21:H21"/>
    <mergeCell ref="I21:J21"/>
    <mergeCell ref="L21:M21"/>
    <mergeCell ref="N21:O21"/>
    <mergeCell ref="P21:R21"/>
    <mergeCell ref="A20:B20"/>
    <mergeCell ref="E20:F20"/>
    <mergeCell ref="G20:H20"/>
    <mergeCell ref="I20:J20"/>
    <mergeCell ref="L20:M20"/>
    <mergeCell ref="N20:O20"/>
    <mergeCell ref="P18:R18"/>
    <mergeCell ref="A19:B19"/>
    <mergeCell ref="E19:F19"/>
    <mergeCell ref="G19:H19"/>
    <mergeCell ref="I19:J19"/>
    <mergeCell ref="L19:M19"/>
    <mergeCell ref="N19:O19"/>
    <mergeCell ref="P19:R19"/>
    <mergeCell ref="A18:B18"/>
    <mergeCell ref="E18:F18"/>
    <mergeCell ref="G18:H18"/>
    <mergeCell ref="I18:J18"/>
    <mergeCell ref="L18:M18"/>
    <mergeCell ref="N18:O18"/>
    <mergeCell ref="A17:B17"/>
    <mergeCell ref="E17:F17"/>
    <mergeCell ref="G17:H17"/>
    <mergeCell ref="I17:J17"/>
    <mergeCell ref="L17:M17"/>
    <mergeCell ref="N17:O17"/>
    <mergeCell ref="P17:R17"/>
    <mergeCell ref="A16:B16"/>
    <mergeCell ref="E16:F16"/>
    <mergeCell ref="G16:H16"/>
    <mergeCell ref="I16:J16"/>
    <mergeCell ref="L16:M16"/>
    <mergeCell ref="N16:O16"/>
    <mergeCell ref="P13:R14"/>
    <mergeCell ref="A15:B15"/>
    <mergeCell ref="E15:F15"/>
    <mergeCell ref="G15:H15"/>
    <mergeCell ref="I15:J15"/>
    <mergeCell ref="L15:M15"/>
    <mergeCell ref="N15:O15"/>
    <mergeCell ref="P15:R15"/>
    <mergeCell ref="P16:R16"/>
    <mergeCell ref="A13:B14"/>
    <mergeCell ref="C13:C14"/>
    <mergeCell ref="D13:D14"/>
    <mergeCell ref="E13:F14"/>
    <mergeCell ref="G13:H14"/>
    <mergeCell ref="I13:J14"/>
    <mergeCell ref="K13:K14"/>
    <mergeCell ref="L13:M14"/>
    <mergeCell ref="N13:O14"/>
    <mergeCell ref="A1:R1"/>
    <mergeCell ref="A2:R2"/>
    <mergeCell ref="A3:R3"/>
    <mergeCell ref="A5:R5"/>
    <mergeCell ref="A6:R6"/>
    <mergeCell ref="A7:D9"/>
    <mergeCell ref="I7:K7"/>
    <mergeCell ref="O7:Q7"/>
    <mergeCell ref="I8:K8"/>
    <mergeCell ref="O8:Q8"/>
    <mergeCell ref="I9:K9"/>
    <mergeCell ref="O9:Q9"/>
    <mergeCell ref="G9:H9"/>
  </mergeCells>
  <conditionalFormatting sqref="D15:D23">
    <cfRule type="containsText" dxfId="0" priority="1" operator="containsText" text="Cancelled">
      <formula>NOT(ISERROR(SEARCH("Cancelled",D15)))</formula>
    </cfRule>
  </conditionalFormatting>
  <pageMargins left="0.59055118110236227" right="0.39370078740157483" top="0.39370078740157483" bottom="0.39370078740157483" header="0.39370078740157483" footer="0.39370078740157483"/>
  <pageSetup scale="7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JULY 2026</vt:lpstr>
      <vt:lpstr>SEP</vt:lpstr>
      <vt:lpstr>'JULY 2026'!Print_Area</vt:lpstr>
      <vt:lpstr>SEP!Print_Area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cp:lastPrinted>2026-07-17T08:28:27Z</cp:lastPrinted>
  <dcterms:created xsi:type="dcterms:W3CDTF">2026-06-08T01:14:20Z</dcterms:created>
  <dcterms:modified xsi:type="dcterms:W3CDTF">2026-09-03T02:45:44Z</dcterms:modified>
</cp:coreProperties>
</file>